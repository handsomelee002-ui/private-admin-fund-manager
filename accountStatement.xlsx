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C:\Users\chelo\OneDrive\Desktop\Document\_Personal\Plan\Stock股票\Account Statement\"/>
    </mc:Choice>
  </mc:AlternateContent>
  <xr:revisionPtr revIDLastSave="0" documentId="13_ncr:1_{6262B581-BBFF-4578-AF71-D6DFA3913B8E}" xr6:coauthVersionLast="47" xr6:coauthVersionMax="47" xr10:uidLastSave="{00000000-0000-0000-0000-000000000000}"/>
  <bookViews>
    <workbookView xWindow="-108" yWindow="-108" windowWidth="23256" windowHeight="12456" activeTab="2" xr2:uid="{03793EC7-23B9-4023-95DD-45DD972513F2}"/>
  </bookViews>
  <sheets>
    <sheet name="Investor" sheetId="6" r:id="rId1"/>
    <sheet name="Deposit_Active" sheetId="8" r:id="rId2"/>
    <sheet name="Transaction" sheetId="10" r:id="rId3"/>
    <sheet name="Wise" sheetId="14" r:id="rId4"/>
    <sheet name="TradingSummary" sheetId="3" r:id="rId5"/>
    <sheet name="Brokerage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0" i="10" l="1"/>
  <c r="I50" i="10" s="1"/>
  <c r="I71" i="10"/>
  <c r="J71" i="10" s="1"/>
  <c r="I69" i="10"/>
  <c r="I67" i="10"/>
  <c r="I62" i="10"/>
  <c r="J62" i="10" s="1"/>
  <c r="I59" i="10"/>
  <c r="I58" i="10"/>
  <c r="I57" i="10"/>
  <c r="I56" i="10"/>
  <c r="I55" i="10"/>
  <c r="I54" i="10"/>
  <c r="P7" i="8"/>
  <c r="T7" i="8"/>
  <c r="X7" i="8"/>
  <c r="AB7" i="8"/>
  <c r="G5" i="3"/>
  <c r="G20" i="3" s="1"/>
  <c r="L7" i="8"/>
  <c r="H7" i="8"/>
  <c r="D7" i="8"/>
  <c r="F102" i="6"/>
  <c r="F103" i="6"/>
  <c r="H103" i="6" s="1"/>
  <c r="O103" i="6" s="1"/>
  <c r="F104" i="6"/>
  <c r="F105" i="6"/>
  <c r="H105" i="6" s="1"/>
  <c r="O105" i="6" s="1"/>
  <c r="F106" i="6"/>
  <c r="H106" i="6" s="1"/>
  <c r="O106" i="6" s="1"/>
  <c r="F107" i="6"/>
  <c r="F101" i="6"/>
  <c r="M108" i="6"/>
  <c r="E108" i="6"/>
  <c r="G108" i="6"/>
  <c r="E107" i="6"/>
  <c r="E106" i="6"/>
  <c r="E105" i="6"/>
  <c r="H104" i="6"/>
  <c r="O104" i="6" s="1"/>
  <c r="E104" i="6"/>
  <c r="E103" i="6"/>
  <c r="H102" i="6"/>
  <c r="O102" i="6" s="1"/>
  <c r="E102" i="6"/>
  <c r="E101" i="6"/>
  <c r="F20" i="3"/>
  <c r="F19" i="3"/>
  <c r="E9" i="3"/>
  <c r="H49" i="10"/>
  <c r="G97" i="6"/>
  <c r="G98" i="6" s="1"/>
  <c r="G87" i="6"/>
  <c r="H87" i="6" s="1"/>
  <c r="G77" i="6"/>
  <c r="H77" i="6" s="1"/>
  <c r="E46" i="6"/>
  <c r="E56" i="6" s="1"/>
  <c r="E66" i="6" s="1"/>
  <c r="E76" i="6" s="1"/>
  <c r="E86" i="6" s="1"/>
  <c r="H46" i="6"/>
  <c r="H56" i="6"/>
  <c r="O56" i="6" s="1"/>
  <c r="H66" i="6"/>
  <c r="H76" i="6"/>
  <c r="O76" i="6" s="1"/>
  <c r="H86" i="6"/>
  <c r="J52" i="10"/>
  <c r="H96" i="6"/>
  <c r="H95" i="6"/>
  <c r="H94" i="6"/>
  <c r="H93" i="6"/>
  <c r="O93" i="6" s="1"/>
  <c r="H92" i="6"/>
  <c r="F98" i="6"/>
  <c r="I48" i="10"/>
  <c r="F88" i="6"/>
  <c r="H85" i="6"/>
  <c r="H84" i="6"/>
  <c r="H83" i="6"/>
  <c r="H82" i="6"/>
  <c r="H81" i="6"/>
  <c r="I47" i="10"/>
  <c r="I46" i="10"/>
  <c r="I39" i="10"/>
  <c r="J40" i="10" s="1"/>
  <c r="H39" i="10"/>
  <c r="G39" i="10"/>
  <c r="F48" i="6"/>
  <c r="F78" i="6"/>
  <c r="H75" i="6"/>
  <c r="H74" i="6"/>
  <c r="H73" i="6"/>
  <c r="H72" i="6"/>
  <c r="H71" i="6"/>
  <c r="I42" i="10"/>
  <c r="I43" i="10"/>
  <c r="I44" i="10"/>
  <c r="I45" i="10"/>
  <c r="G68" i="6"/>
  <c r="F68" i="6"/>
  <c r="H67" i="6"/>
  <c r="H65" i="6"/>
  <c r="H64" i="6"/>
  <c r="H63" i="6"/>
  <c r="H62" i="6"/>
  <c r="H61" i="6"/>
  <c r="H57" i="6"/>
  <c r="O57" i="6" s="1"/>
  <c r="H54" i="6"/>
  <c r="O54" i="6" s="1"/>
  <c r="H53" i="6"/>
  <c r="G58" i="6"/>
  <c r="F58" i="6"/>
  <c r="H55" i="6"/>
  <c r="O55" i="6" s="1"/>
  <c r="H52" i="6"/>
  <c r="O52" i="6" s="1"/>
  <c r="H51" i="6"/>
  <c r="J30" i="10"/>
  <c r="J32" i="10"/>
  <c r="H42" i="6"/>
  <c r="H43" i="6"/>
  <c r="H44" i="6"/>
  <c r="H45" i="6"/>
  <c r="H47" i="6"/>
  <c r="G48" i="6"/>
  <c r="H41" i="6"/>
  <c r="F9" i="3"/>
  <c r="J25" i="10"/>
  <c r="J23" i="6"/>
  <c r="J9" i="10"/>
  <c r="J7" i="10"/>
  <c r="G27" i="6"/>
  <c r="J13" i="10"/>
  <c r="J5" i="10"/>
  <c r="J21" i="10"/>
  <c r="G38" i="6"/>
  <c r="E23" i="6"/>
  <c r="E32" i="6" s="1"/>
  <c r="E42" i="6" s="1"/>
  <c r="E24" i="6"/>
  <c r="E33" i="6" s="1"/>
  <c r="E43" i="6" s="1"/>
  <c r="E25" i="6"/>
  <c r="E34" i="6" s="1"/>
  <c r="E26" i="6"/>
  <c r="E35" i="6" s="1"/>
  <c r="E27" i="6"/>
  <c r="E22" i="6"/>
  <c r="H14" i="6"/>
  <c r="H15" i="6"/>
  <c r="H16" i="6"/>
  <c r="H17" i="6"/>
  <c r="H18" i="6"/>
  <c r="H13" i="6"/>
  <c r="F19" i="6"/>
  <c r="J69" i="10" l="1"/>
  <c r="J59" i="10"/>
  <c r="J55" i="10"/>
  <c r="I49" i="10"/>
  <c r="J50" i="10" s="1"/>
  <c r="F108" i="6"/>
  <c r="H101" i="6"/>
  <c r="O101" i="6" s="1"/>
  <c r="H107" i="6"/>
  <c r="O107" i="6" s="1"/>
  <c r="O108" i="6" s="1"/>
  <c r="H97" i="6"/>
  <c r="O97" i="6" s="1"/>
  <c r="E37" i="6"/>
  <c r="E47" i="6" s="1"/>
  <c r="G78" i="6"/>
  <c r="G88" i="6"/>
  <c r="E96" i="6"/>
  <c r="E31" i="6"/>
  <c r="E41" i="6" s="1"/>
  <c r="O95" i="6"/>
  <c r="H91" i="6"/>
  <c r="O96" i="6"/>
  <c r="O92" i="6"/>
  <c r="O94" i="6"/>
  <c r="M98" i="6"/>
  <c r="H88" i="6"/>
  <c r="H78" i="6"/>
  <c r="E52" i="6"/>
  <c r="E62" i="6" s="1"/>
  <c r="E53" i="6"/>
  <c r="E63" i="6" s="1"/>
  <c r="E45" i="6"/>
  <c r="E44" i="6"/>
  <c r="H68" i="6"/>
  <c r="O53" i="6"/>
  <c r="M58" i="6"/>
  <c r="H58" i="6"/>
  <c r="O51" i="6"/>
  <c r="H48" i="6"/>
  <c r="G28" i="6"/>
  <c r="G19" i="6"/>
  <c r="H10" i="6"/>
  <c r="J7" i="6" s="1"/>
  <c r="M6" i="6" s="1"/>
  <c r="O6" i="6" s="1"/>
  <c r="H108" i="6" l="1"/>
  <c r="H98" i="6"/>
  <c r="E38" i="6"/>
  <c r="J33" i="6" s="1"/>
  <c r="M36" i="6" s="1"/>
  <c r="O36" i="6" s="1"/>
  <c r="E51" i="6"/>
  <c r="E61" i="6" s="1"/>
  <c r="E48" i="6"/>
  <c r="J43" i="6" s="1"/>
  <c r="E73" i="6"/>
  <c r="E83" i="6" s="1"/>
  <c r="E93" i="6" s="1"/>
  <c r="E72" i="6"/>
  <c r="E82" i="6" s="1"/>
  <c r="E92" i="6" s="1"/>
  <c r="O91" i="6"/>
  <c r="O98" i="6" s="1"/>
  <c r="O77" i="6"/>
  <c r="O75" i="6"/>
  <c r="O74" i="6"/>
  <c r="O73" i="6"/>
  <c r="O72" i="6"/>
  <c r="O58" i="6"/>
  <c r="E54" i="6"/>
  <c r="E64" i="6" s="1"/>
  <c r="E55" i="6"/>
  <c r="E65" i="6" s="1"/>
  <c r="E57" i="6"/>
  <c r="E67" i="6" s="1"/>
  <c r="E28" i="6"/>
  <c r="J24" i="6" s="1"/>
  <c r="E19" i="6"/>
  <c r="J15" i="6" s="1"/>
  <c r="M5" i="6"/>
  <c r="O5" i="6" s="1"/>
  <c r="M9" i="6"/>
  <c r="M8" i="6"/>
  <c r="O8" i="6" s="1"/>
  <c r="M7" i="6"/>
  <c r="M42" i="6" l="1"/>
  <c r="O42" i="6" s="1"/>
  <c r="M46" i="6"/>
  <c r="O46" i="6" s="1"/>
  <c r="M47" i="6"/>
  <c r="O47" i="6" s="1"/>
  <c r="M45" i="6"/>
  <c r="O45" i="6" s="1"/>
  <c r="M32" i="6"/>
  <c r="M34" i="6"/>
  <c r="M35" i="6"/>
  <c r="M37" i="6"/>
  <c r="M44" i="6"/>
  <c r="O44" i="6" s="1"/>
  <c r="E71" i="6"/>
  <c r="E75" i="6"/>
  <c r="E85" i="6" s="1"/>
  <c r="E74" i="6"/>
  <c r="E84" i="6" s="1"/>
  <c r="M33" i="6"/>
  <c r="M31" i="6"/>
  <c r="E77" i="6"/>
  <c r="E87" i="6" s="1"/>
  <c r="M41" i="6"/>
  <c r="O41" i="6" s="1"/>
  <c r="M43" i="6"/>
  <c r="O43" i="6" s="1"/>
  <c r="M78" i="6"/>
  <c r="O71" i="6"/>
  <c r="O78" i="6" s="1"/>
  <c r="E68" i="6"/>
  <c r="J63" i="6" s="1"/>
  <c r="E58" i="6"/>
  <c r="M22" i="6"/>
  <c r="M26" i="6"/>
  <c r="M25" i="6"/>
  <c r="M23" i="6"/>
  <c r="M24" i="6"/>
  <c r="M27" i="6"/>
  <c r="H19" i="6"/>
  <c r="O7" i="6"/>
  <c r="O9" i="6"/>
  <c r="M16" i="6"/>
  <c r="O16" i="6" s="1"/>
  <c r="M15" i="6"/>
  <c r="M17" i="6"/>
  <c r="M18" i="6"/>
  <c r="O18" i="6" s="1"/>
  <c r="F27" i="6" s="1"/>
  <c r="H27" i="6" s="1"/>
  <c r="M14" i="6"/>
  <c r="O14" i="6" s="1"/>
  <c r="F23" i="6" s="1"/>
  <c r="H23" i="6" s="1"/>
  <c r="M13" i="6"/>
  <c r="O13" i="6" s="1"/>
  <c r="F22" i="6" s="1"/>
  <c r="M10" i="6"/>
  <c r="M61" i="6" l="1"/>
  <c r="O61" i="6" s="1"/>
  <c r="M66" i="6"/>
  <c r="O66" i="6" s="1"/>
  <c r="M67" i="6"/>
  <c r="O67" i="6" s="1"/>
  <c r="M38" i="6"/>
  <c r="M65" i="6"/>
  <c r="O65" i="6" s="1"/>
  <c r="O48" i="6"/>
  <c r="E81" i="6"/>
  <c r="E78" i="6"/>
  <c r="E95" i="6"/>
  <c r="E97" i="6"/>
  <c r="M63" i="6"/>
  <c r="O63" i="6" s="1"/>
  <c r="M62" i="6"/>
  <c r="O62" i="6" s="1"/>
  <c r="M48" i="6"/>
  <c r="E94" i="6"/>
  <c r="M64" i="6"/>
  <c r="O64" i="6" s="1"/>
  <c r="O23" i="6"/>
  <c r="F32" i="6" s="1"/>
  <c r="H32" i="6" s="1"/>
  <c r="O32" i="6" s="1"/>
  <c r="O27" i="6"/>
  <c r="F37" i="6" s="1"/>
  <c r="H37" i="6" s="1"/>
  <c r="O37" i="6" s="1"/>
  <c r="F25" i="6"/>
  <c r="H25" i="6" s="1"/>
  <c r="O25" i="6" s="1"/>
  <c r="F34" i="6" s="1"/>
  <c r="H34" i="6" s="1"/>
  <c r="O34" i="6" s="1"/>
  <c r="H22" i="6"/>
  <c r="O22" i="6" s="1"/>
  <c r="F31" i="6" s="1"/>
  <c r="O10" i="6"/>
  <c r="O17" i="6"/>
  <c r="F26" i="6" s="1"/>
  <c r="H26" i="6" s="1"/>
  <c r="O26" i="6" s="1"/>
  <c r="F35" i="6" s="1"/>
  <c r="H35" i="6" s="1"/>
  <c r="O35" i="6" s="1"/>
  <c r="O15" i="6"/>
  <c r="M28" i="6"/>
  <c r="M19" i="6"/>
  <c r="O68" i="6" l="1"/>
  <c r="M68" i="6"/>
  <c r="E91" i="6"/>
  <c r="E98" i="6" s="1"/>
  <c r="E88" i="6"/>
  <c r="J83" i="6" s="1"/>
  <c r="M86" i="6" s="1"/>
  <c r="O86" i="6" s="1"/>
  <c r="O19" i="6"/>
  <c r="F24" i="6"/>
  <c r="H31" i="6"/>
  <c r="M81" i="6" l="1"/>
  <c r="O81" i="6" s="1"/>
  <c r="M83" i="6"/>
  <c r="O83" i="6" s="1"/>
  <c r="M82" i="6"/>
  <c r="O82" i="6" s="1"/>
  <c r="M87" i="6"/>
  <c r="O87" i="6" s="1"/>
  <c r="M84" i="6"/>
  <c r="O84" i="6" s="1"/>
  <c r="M85" i="6"/>
  <c r="O85" i="6" s="1"/>
  <c r="O31" i="6"/>
  <c r="H24" i="6"/>
  <c r="F28" i="6"/>
  <c r="M88" i="6" l="1"/>
  <c r="O88" i="6"/>
  <c r="O24" i="6"/>
  <c r="H28" i="6"/>
  <c r="F33" i="6" l="1"/>
  <c r="O28" i="6"/>
  <c r="H33" i="6" l="1"/>
  <c r="F38" i="6"/>
  <c r="O33" i="6" l="1"/>
  <c r="O38" i="6" s="1"/>
  <c r="H38" i="6"/>
</calcChain>
</file>

<file path=xl/sharedStrings.xml><?xml version="1.0" encoding="utf-8"?>
<sst xmlns="http://schemas.openxmlformats.org/spreadsheetml/2006/main" count="662" uniqueCount="156">
  <si>
    <t>Month</t>
  </si>
  <si>
    <t>Balance B/D</t>
  </si>
  <si>
    <t>Return In Investment</t>
  </si>
  <si>
    <t>Balabce C/D</t>
  </si>
  <si>
    <t>Sum</t>
  </si>
  <si>
    <t>Dec</t>
  </si>
  <si>
    <t>Date</t>
  </si>
  <si>
    <t>Quantity</t>
  </si>
  <si>
    <t>Amount</t>
  </si>
  <si>
    <t>Category</t>
  </si>
  <si>
    <t>马股</t>
  </si>
  <si>
    <t>外汇</t>
  </si>
  <si>
    <t>Name</t>
  </si>
  <si>
    <t>Brokerage</t>
  </si>
  <si>
    <t>After</t>
  </si>
  <si>
    <t>Loo Lay Heong</t>
  </si>
  <si>
    <t>Lee Che Hou</t>
  </si>
  <si>
    <t>Lee Che Jie</t>
  </si>
  <si>
    <t>Lee Che Loon</t>
  </si>
  <si>
    <t>Lee Che Siang</t>
  </si>
  <si>
    <t>Realized profit</t>
  </si>
  <si>
    <t>Profit (RM)</t>
  </si>
  <si>
    <t>Loss (RM)</t>
  </si>
  <si>
    <t>LOSS</t>
  </si>
  <si>
    <t>C/D</t>
  </si>
  <si>
    <t>LEE CHE LOON</t>
  </si>
  <si>
    <t>LEE CHE HOU</t>
  </si>
  <si>
    <t>LEE CHE SIANG</t>
  </si>
  <si>
    <t>LEE CHE JIE</t>
  </si>
  <si>
    <t>LOO LAY HEONG</t>
  </si>
  <si>
    <t>b/d</t>
  </si>
  <si>
    <t>19/3/2025</t>
  </si>
  <si>
    <t>IN</t>
  </si>
  <si>
    <t>Stock Market</t>
  </si>
  <si>
    <t>Unit Trust</t>
  </si>
  <si>
    <t>Transaction Type</t>
  </si>
  <si>
    <t>Balance</t>
  </si>
  <si>
    <t>Notes</t>
  </si>
  <si>
    <t>Deposit</t>
  </si>
  <si>
    <t>Amount (RM)</t>
  </si>
  <si>
    <t>RHB Bond Fund</t>
  </si>
  <si>
    <t>RHB Islamic Global Developed Markets Fund</t>
  </si>
  <si>
    <t>Remark</t>
  </si>
  <si>
    <t>dailyCompound</t>
  </si>
  <si>
    <t>Platform</t>
  </si>
  <si>
    <t>RHBAM</t>
  </si>
  <si>
    <t>StashAway</t>
  </si>
  <si>
    <t>April</t>
  </si>
  <si>
    <t>ER0.25% - Bitcoin</t>
  </si>
  <si>
    <t>ER0.20% - Nasdaq100</t>
  </si>
  <si>
    <t>Transferred</t>
  </si>
  <si>
    <t>Deposit (T)</t>
  </si>
  <si>
    <t>ER0.40% - Gold</t>
  </si>
  <si>
    <t>Aladdin - Tariff War Trident</t>
  </si>
  <si>
    <t>18/4/2025</t>
  </si>
  <si>
    <t>16/4/2025</t>
  </si>
  <si>
    <t>PROFIT</t>
  </si>
  <si>
    <t>17/4/2025</t>
  </si>
  <si>
    <t>Net Deposit</t>
  </si>
  <si>
    <t>28/4/2025</t>
  </si>
  <si>
    <t>May</t>
  </si>
  <si>
    <t>June</t>
  </si>
  <si>
    <t xml:space="preserve"> </t>
  </si>
  <si>
    <t>PROFIT / LOSS</t>
  </si>
  <si>
    <t>FULL TRANSFER</t>
  </si>
  <si>
    <t>13/5/2025</t>
  </si>
  <si>
    <t>MT5</t>
  </si>
  <si>
    <t>EA - Percent Risk Scalping Ea for MT5</t>
  </si>
  <si>
    <t>14/5/2025</t>
  </si>
  <si>
    <t>15/5/2025</t>
  </si>
  <si>
    <t>22/5/2025</t>
  </si>
  <si>
    <t>20/5/2025</t>
  </si>
  <si>
    <t>21/5/2025</t>
  </si>
  <si>
    <t>ER0.25% - FBTC</t>
  </si>
  <si>
    <t>ER0.04% - VEU (Ex-US) Developed &amp; Emerging Markets</t>
  </si>
  <si>
    <t>25/5/2025</t>
  </si>
  <si>
    <t>Deposit/Withdraw</t>
  </si>
  <si>
    <t>OUT</t>
  </si>
  <si>
    <t>CONTRA IN (LEE CHE HOU)</t>
  </si>
  <si>
    <t>CONTRA IN (LEE CHE JIE)</t>
  </si>
  <si>
    <t>CONTRA OUT (LEE CHE HOU)</t>
  </si>
  <si>
    <t>NG SIEW CHIN</t>
  </si>
  <si>
    <t>Ng Siew Chin</t>
  </si>
  <si>
    <t>Rakuten</t>
  </si>
  <si>
    <t>Price</t>
  </si>
  <si>
    <t>StockInfo</t>
  </si>
  <si>
    <t>1155 @ MAYBANK BHD</t>
  </si>
  <si>
    <t>13/6/2025</t>
  </si>
  <si>
    <t>17/6/2025</t>
  </si>
  <si>
    <t>26/6/2025</t>
  </si>
  <si>
    <t>July</t>
  </si>
  <si>
    <t>23/7/2025</t>
  </si>
  <si>
    <t>Aug</t>
  </si>
  <si>
    <t>21/7/2025</t>
  </si>
  <si>
    <t>31/7/2025</t>
  </si>
  <si>
    <t>Luno</t>
  </si>
  <si>
    <t>XRP</t>
  </si>
  <si>
    <t>22/8/2025</t>
  </si>
  <si>
    <t>18/9/2025</t>
  </si>
  <si>
    <t>NULL</t>
  </si>
  <si>
    <t>26/9/2025</t>
  </si>
  <si>
    <t>Sept</t>
  </si>
  <si>
    <t>Oct</t>
  </si>
  <si>
    <t>14/10/20025</t>
  </si>
  <si>
    <t xml:space="preserve">IN </t>
  </si>
  <si>
    <t>17/10/2025</t>
  </si>
  <si>
    <t>14/8/2025</t>
  </si>
  <si>
    <t>AVEARAGE</t>
  </si>
  <si>
    <t>DIVIDEND</t>
  </si>
  <si>
    <t>Nov</t>
  </si>
  <si>
    <t>SELL</t>
  </si>
  <si>
    <t>18/11/2025</t>
  </si>
  <si>
    <t>Converted</t>
  </si>
  <si>
    <t>29/10/2025</t>
  </si>
  <si>
    <t>Withdraw</t>
  </si>
  <si>
    <t>25/11/2025</t>
  </si>
  <si>
    <t>RM TO USD</t>
  </si>
  <si>
    <t>#FOR MAYBANK DIVIDEND ONLY</t>
  </si>
  <si>
    <t>#FOR KDI SAVE ONLY</t>
  </si>
  <si>
    <t>KDI</t>
  </si>
  <si>
    <t>KDI SAVE</t>
  </si>
  <si>
    <t>March</t>
  </si>
  <si>
    <t>Crypto</t>
  </si>
  <si>
    <t>17/12/2025</t>
  </si>
  <si>
    <t>in RM</t>
  </si>
  <si>
    <t>18/12/2025</t>
  </si>
  <si>
    <t>23/12/2025</t>
  </si>
  <si>
    <t>IBKR</t>
  </si>
  <si>
    <t>NVDA</t>
  </si>
  <si>
    <t>24/12/2025</t>
  </si>
  <si>
    <t>Year</t>
  </si>
  <si>
    <t>Jan</t>
  </si>
  <si>
    <t>NET</t>
  </si>
  <si>
    <t>Net</t>
  </si>
  <si>
    <t>Feb</t>
  </si>
  <si>
    <t>Currency</t>
  </si>
  <si>
    <t>USD</t>
  </si>
  <si>
    <t>RHM</t>
  </si>
  <si>
    <t>EUR</t>
  </si>
  <si>
    <t>AVAV</t>
  </si>
  <si>
    <t>13/1/2026</t>
  </si>
  <si>
    <t>CCJ</t>
  </si>
  <si>
    <t>Date Closed</t>
  </si>
  <si>
    <t>LYC</t>
  </si>
  <si>
    <t>14/1/2026</t>
  </si>
  <si>
    <t>AUD</t>
  </si>
  <si>
    <t>15/1/2026</t>
  </si>
  <si>
    <t>**Unrealised Profit</t>
  </si>
  <si>
    <t>22/1/2026</t>
  </si>
  <si>
    <t>26/1/2026</t>
  </si>
  <si>
    <t>21/1/2026</t>
  </si>
  <si>
    <t>23/1/2026</t>
  </si>
  <si>
    <t>27/1/2026</t>
  </si>
  <si>
    <t>**Unrealised Loss</t>
  </si>
  <si>
    <t>28/1/2026</t>
  </si>
  <si>
    <t>22/4/2026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</si>
</sst>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[$RM-4409]#,##0.00"/>
    <numFmt numFmtId="165" formatCode="_-[$RM-4409]* #,##0.00_-;\-[$RM-4409]* #,##0.00_-;_-[$RM-4409]* &quot;-&quot;??_-;_-@_-"/>
    <numFmt numFmtId="166" formatCode="[$RM-4409]#,##0.0000"/>
    <numFmt numFmtId="167" formatCode="_-[$RM-4409]* #,##0.0000_-;\-[$RM-4409]* #,##0.0000_-;_-[$RM-4409]* &quot;-&quot;????_-;_-@_-"/>
    <numFmt numFmtId="168" formatCode="&quot;$&quot;#,##0.0000"/>
    <numFmt numFmtId="169" formatCode="&quot;$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7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5" xfId="0" applyBorder="1"/>
    <xf numFmtId="2" fontId="0" fillId="0" borderId="0" xfId="0" applyNumberFormat="1"/>
    <xf numFmtId="164" fontId="0" fillId="0" borderId="0" xfId="0" applyNumberFormat="1"/>
    <xf numFmtId="164" fontId="1" fillId="0" borderId="1" xfId="0" applyNumberFormat="1" applyFont="1" applyBorder="1"/>
    <xf numFmtId="0" fontId="0" fillId="0" borderId="8" xfId="0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164" fontId="0" fillId="0" borderId="1" xfId="0" applyNumberFormat="1" applyBorder="1"/>
    <xf numFmtId="0" fontId="2" fillId="0" borderId="0" xfId="0" applyFont="1"/>
    <xf numFmtId="0" fontId="3" fillId="0" borderId="0" xfId="0" applyFont="1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4" fontId="0" fillId="0" borderId="0" xfId="0" applyNumberFormat="1" applyAlignment="1">
      <alignment horizontal="right"/>
    </xf>
    <xf numFmtId="14" fontId="0" fillId="4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4" fontId="1" fillId="0" borderId="0" xfId="0" applyNumberFormat="1" applyFont="1"/>
    <xf numFmtId="164" fontId="1" fillId="2" borderId="0" xfId="0" applyNumberFormat="1" applyFont="1" applyFill="1" applyAlignment="1">
      <alignment horizontal="center"/>
    </xf>
    <xf numFmtId="164" fontId="0" fillId="0" borderId="8" xfId="0" applyNumberFormat="1" applyBorder="1"/>
    <xf numFmtId="164" fontId="0" fillId="0" borderId="5" xfId="0" applyNumberFormat="1" applyBorder="1"/>
    <xf numFmtId="10" fontId="1" fillId="4" borderId="0" xfId="0" applyNumberFormat="1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Fill="1" applyBorder="1"/>
    <xf numFmtId="0" fontId="0" fillId="0" borderId="10" xfId="0" applyFill="1" applyBorder="1" applyAlignment="1">
      <alignment horizontal="center"/>
    </xf>
    <xf numFmtId="164" fontId="0" fillId="0" borderId="10" xfId="0" applyNumberFormat="1" applyFill="1" applyBorder="1" applyAlignment="1">
      <alignment horizontal="center"/>
    </xf>
    <xf numFmtId="0" fontId="0" fillId="0" borderId="10" xfId="0" applyFill="1" applyBorder="1" applyAlignment="1"/>
    <xf numFmtId="164" fontId="0" fillId="0" borderId="10" xfId="0" applyNumberFormat="1" applyFill="1" applyBorder="1" applyAlignment="1"/>
    <xf numFmtId="0" fontId="0" fillId="0" borderId="11" xfId="0" applyBorder="1"/>
    <xf numFmtId="0" fontId="0" fillId="0" borderId="12" xfId="0" applyBorder="1"/>
    <xf numFmtId="0" fontId="2" fillId="0" borderId="13" xfId="0" applyFont="1" applyBorder="1"/>
    <xf numFmtId="0" fontId="3" fillId="0" borderId="13" xfId="0" applyFont="1" applyBorder="1" applyAlignment="1">
      <alignment horizontal="center"/>
    </xf>
    <xf numFmtId="0" fontId="0" fillId="0" borderId="13" xfId="0" applyBorder="1"/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 applyAlignment="1">
      <alignment horizontal="center"/>
    </xf>
    <xf numFmtId="0" fontId="0" fillId="0" borderId="13" xfId="0" applyFill="1" applyBorder="1" applyAlignment="1"/>
    <xf numFmtId="165" fontId="0" fillId="0" borderId="10" xfId="0" applyNumberFormat="1" applyFont="1" applyFill="1" applyBorder="1"/>
    <xf numFmtId="0" fontId="0" fillId="0" borderId="14" xfId="0" applyFill="1" applyBorder="1" applyAlignment="1">
      <alignment horizontal="center"/>
    </xf>
    <xf numFmtId="0" fontId="0" fillId="0" borderId="14" xfId="0" applyFill="1" applyBorder="1" applyAlignment="1">
      <alignment horizontal="left"/>
    </xf>
    <xf numFmtId="0" fontId="0" fillId="0" borderId="10" xfId="0" applyNumberFormat="1" applyBorder="1" applyAlignment="1">
      <alignment horizontal="center"/>
    </xf>
    <xf numFmtId="0" fontId="3" fillId="0" borderId="13" xfId="0" applyNumberFormat="1" applyFont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0" fontId="0" fillId="0" borderId="10" xfId="0" applyNumberFormat="1" applyFill="1" applyBorder="1" applyAlignment="1">
      <alignment horizontal="center"/>
    </xf>
    <xf numFmtId="0" fontId="0" fillId="0" borderId="13" xfId="0" applyNumberFormat="1" applyFill="1" applyBorder="1" applyAlignment="1">
      <alignment horizontal="center"/>
    </xf>
    <xf numFmtId="165" fontId="0" fillId="0" borderId="10" xfId="0" applyNumberFormat="1" applyFont="1" applyFill="1" applyBorder="1" applyAlignment="1">
      <alignment horizontal="left"/>
    </xf>
    <xf numFmtId="165" fontId="0" fillId="0" borderId="10" xfId="0" applyNumberFormat="1" applyBorder="1"/>
    <xf numFmtId="164" fontId="0" fillId="0" borderId="0" xfId="0" applyNumberFormat="1" applyBorder="1"/>
    <xf numFmtId="0" fontId="0" fillId="5" borderId="15" xfId="0" applyFont="1" applyFill="1" applyBorder="1" applyAlignment="1">
      <alignment horizontal="center"/>
    </xf>
    <xf numFmtId="0" fontId="0" fillId="5" borderId="17" xfId="0" applyNumberFormat="1" applyFill="1" applyBorder="1" applyAlignment="1">
      <alignment horizontal="center"/>
    </xf>
    <xf numFmtId="0" fontId="0" fillId="5" borderId="19" xfId="0" applyFont="1" applyFill="1" applyBorder="1" applyAlignment="1">
      <alignment horizontal="center"/>
    </xf>
    <xf numFmtId="14" fontId="0" fillId="5" borderId="20" xfId="0" applyNumberFormat="1" applyFill="1" applyBorder="1" applyAlignment="1">
      <alignment horizontal="center"/>
    </xf>
    <xf numFmtId="0" fontId="0" fillId="5" borderId="20" xfId="0" applyNumberFormat="1" applyFill="1" applyBorder="1" applyAlignment="1">
      <alignment horizontal="center"/>
    </xf>
    <xf numFmtId="165" fontId="0" fillId="4" borderId="20" xfId="0" applyNumberFormat="1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14" xfId="0" applyBorder="1"/>
    <xf numFmtId="166" fontId="0" fillId="0" borderId="10" xfId="0" applyNumberFormat="1" applyBorder="1" applyAlignment="1">
      <alignment horizontal="center"/>
    </xf>
    <xf numFmtId="166" fontId="3" fillId="0" borderId="13" xfId="0" applyNumberFormat="1" applyFont="1" applyBorder="1" applyAlignment="1">
      <alignment horizontal="center"/>
    </xf>
    <xf numFmtId="166" fontId="0" fillId="0" borderId="14" xfId="0" applyNumberFormat="1" applyFill="1" applyBorder="1" applyAlignment="1">
      <alignment horizontal="center"/>
    </xf>
    <xf numFmtId="166" fontId="0" fillId="0" borderId="10" xfId="0" applyNumberFormat="1" applyFill="1" applyBorder="1" applyAlignment="1">
      <alignment horizontal="center"/>
    </xf>
    <xf numFmtId="166" fontId="0" fillId="0" borderId="13" xfId="0" applyNumberFormat="1" applyFill="1" applyBorder="1" applyAlignment="1">
      <alignment horizontal="center"/>
    </xf>
    <xf numFmtId="166" fontId="0" fillId="5" borderId="17" xfId="0" applyNumberFormat="1" applyFill="1" applyBorder="1" applyAlignment="1">
      <alignment horizontal="center"/>
    </xf>
    <xf numFmtId="166" fontId="0" fillId="5" borderId="20" xfId="0" applyNumberFormat="1" applyFill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4" fontId="0" fillId="0" borderId="10" xfId="0" applyNumberFormat="1" applyFill="1" applyBorder="1" applyAlignment="1">
      <alignment horizontal="center"/>
    </xf>
    <xf numFmtId="17" fontId="0" fillId="5" borderId="21" xfId="0" applyNumberFormat="1" applyFont="1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165" fontId="3" fillId="0" borderId="13" xfId="0" applyNumberFormat="1" applyFont="1" applyBorder="1"/>
    <xf numFmtId="165" fontId="0" fillId="0" borderId="10" xfId="0" applyNumberFormat="1" applyBorder="1" applyAlignment="1">
      <alignment horizontal="center"/>
    </xf>
    <xf numFmtId="44" fontId="0" fillId="0" borderId="10" xfId="0" applyNumberFormat="1" applyBorder="1" applyAlignment="1">
      <alignment horizontal="center"/>
    </xf>
    <xf numFmtId="44" fontId="3" fillId="0" borderId="13" xfId="0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44" fontId="0" fillId="0" borderId="14" xfId="0" applyNumberFormat="1" applyBorder="1" applyAlignment="1">
      <alignment horizontal="center"/>
    </xf>
    <xf numFmtId="0" fontId="1" fillId="0" borderId="28" xfId="0" applyFont="1" applyBorder="1"/>
    <xf numFmtId="165" fontId="1" fillId="0" borderId="29" xfId="0" applyNumberFormat="1" applyFont="1" applyBorder="1"/>
    <xf numFmtId="44" fontId="1" fillId="0" borderId="29" xfId="0" applyNumberFormat="1" applyFont="1" applyBorder="1" applyAlignment="1">
      <alignment horizontal="center"/>
    </xf>
    <xf numFmtId="164" fontId="1" fillId="0" borderId="29" xfId="0" applyNumberFormat="1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0" fillId="0" borderId="22" xfId="0" applyFont="1" applyBorder="1" applyAlignment="1">
      <alignment horizontal="center"/>
    </xf>
    <xf numFmtId="0" fontId="0" fillId="0" borderId="23" xfId="0" applyBorder="1"/>
    <xf numFmtId="0" fontId="0" fillId="0" borderId="19" xfId="0" applyFon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44" fontId="0" fillId="0" borderId="20" xfId="0" applyNumberFormat="1" applyBorder="1" applyAlignment="1">
      <alignment horizontal="center"/>
    </xf>
    <xf numFmtId="0" fontId="0" fillId="0" borderId="20" xfId="0" applyBorder="1"/>
    <xf numFmtId="0" fontId="0" fillId="0" borderId="21" xfId="0" applyBorder="1"/>
    <xf numFmtId="14" fontId="0" fillId="0" borderId="15" xfId="0" applyNumberFormat="1" applyFont="1" applyBorder="1" applyAlignment="1">
      <alignment horizontal="center"/>
    </xf>
    <xf numFmtId="165" fontId="0" fillId="0" borderId="17" xfId="0" applyNumberFormat="1" applyFont="1" applyBorder="1" applyAlignment="1">
      <alignment horizontal="center"/>
    </xf>
    <xf numFmtId="44" fontId="0" fillId="0" borderId="17" xfId="0" applyNumberFormat="1" applyBorder="1" applyAlignment="1">
      <alignment horizontal="center"/>
    </xf>
    <xf numFmtId="165" fontId="0" fillId="0" borderId="17" xfId="0" applyNumberFormat="1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14" fontId="0" fillId="0" borderId="22" xfId="0" applyNumberFormat="1" applyFont="1" applyBorder="1" applyAlignment="1">
      <alignment horizontal="center"/>
    </xf>
    <xf numFmtId="0" fontId="4" fillId="0" borderId="10" xfId="0" applyFont="1" applyBorder="1"/>
    <xf numFmtId="164" fontId="0" fillId="0" borderId="0" xfId="0" applyNumberFormat="1" applyAlignment="1">
      <alignment horizontal="right"/>
    </xf>
    <xf numFmtId="14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right"/>
    </xf>
    <xf numFmtId="16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8" xfId="0" applyBorder="1"/>
    <xf numFmtId="14" fontId="0" fillId="0" borderId="19" xfId="0" applyNumberFormat="1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165" fontId="1" fillId="0" borderId="29" xfId="0" applyNumberFormat="1" applyFont="1" applyBorder="1" applyAlignment="1">
      <alignment horizontal="center"/>
    </xf>
    <xf numFmtId="165" fontId="0" fillId="0" borderId="20" xfId="0" applyNumberFormat="1" applyBorder="1"/>
    <xf numFmtId="0" fontId="0" fillId="0" borderId="27" xfId="0" applyBorder="1"/>
    <xf numFmtId="14" fontId="0" fillId="0" borderId="31" xfId="0" applyNumberFormat="1" applyFont="1" applyBorder="1" applyAlignment="1">
      <alignment horizontal="center"/>
    </xf>
    <xf numFmtId="165" fontId="0" fillId="0" borderId="16" xfId="0" applyNumberFormat="1" applyFont="1" applyBorder="1" applyAlignment="1">
      <alignment horizontal="center"/>
    </xf>
    <xf numFmtId="44" fontId="0" fillId="0" borderId="16" xfId="0" applyNumberFormat="1" applyBorder="1" applyAlignment="1">
      <alignment horizontal="center"/>
    </xf>
    <xf numFmtId="165" fontId="0" fillId="0" borderId="16" xfId="0" applyNumberFormat="1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165" fontId="0" fillId="0" borderId="20" xfId="0" applyNumberFormat="1" applyFont="1" applyBorder="1" applyAlignment="1">
      <alignment horizontal="center"/>
    </xf>
    <xf numFmtId="165" fontId="0" fillId="0" borderId="20" xfId="0" applyNumberFormat="1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14" fontId="0" fillId="5" borderId="13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1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  <xf numFmtId="164" fontId="0" fillId="6" borderId="0" xfId="0" applyNumberFormat="1" applyFill="1"/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164" fontId="1" fillId="0" borderId="36" xfId="0" applyNumberFormat="1" applyFont="1" applyBorder="1" applyAlignment="1">
      <alignment horizontal="center"/>
    </xf>
    <xf numFmtId="164" fontId="0" fillId="0" borderId="8" xfId="0" applyNumberFormat="1" applyFont="1" applyFill="1" applyBorder="1"/>
    <xf numFmtId="164" fontId="1" fillId="0" borderId="36" xfId="0" applyNumberFormat="1" applyFont="1" applyFill="1" applyBorder="1"/>
    <xf numFmtId="164" fontId="0" fillId="0" borderId="0" xfId="0" applyNumberFormat="1" applyFont="1" applyFill="1" applyBorder="1"/>
    <xf numFmtId="164" fontId="0" fillId="3" borderId="0" xfId="0" applyNumberFormat="1" applyFill="1" applyBorder="1"/>
    <xf numFmtId="0" fontId="0" fillId="0" borderId="3" xfId="0" applyBorder="1"/>
    <xf numFmtId="164" fontId="0" fillId="3" borderId="5" xfId="0" applyNumberFormat="1" applyFill="1" applyBorder="1"/>
    <xf numFmtId="164" fontId="5" fillId="0" borderId="5" xfId="0" applyNumberFormat="1" applyFont="1" applyFill="1" applyBorder="1"/>
    <xf numFmtId="0" fontId="0" fillId="0" borderId="2" xfId="0" applyBorder="1"/>
    <xf numFmtId="164" fontId="0" fillId="0" borderId="5" xfId="0" applyNumberFormat="1" applyFont="1" applyFill="1" applyBorder="1"/>
    <xf numFmtId="0" fontId="0" fillId="0" borderId="4" xfId="0" applyBorder="1"/>
    <xf numFmtId="164" fontId="5" fillId="0" borderId="5" xfId="0" applyNumberFormat="1" applyFont="1" applyFill="1" applyBorder="1" applyAlignment="1">
      <alignment horizontal="right"/>
    </xf>
    <xf numFmtId="164" fontId="3" fillId="7" borderId="4" xfId="0" applyNumberFormat="1" applyFont="1" applyFill="1" applyBorder="1"/>
    <xf numFmtId="0" fontId="0" fillId="0" borderId="17" xfId="0" applyFill="1" applyBorder="1" applyAlignment="1">
      <alignment horizontal="center"/>
    </xf>
    <xf numFmtId="0" fontId="0" fillId="0" borderId="17" xfId="0" applyFill="1" applyBorder="1" applyAlignment="1">
      <alignment horizontal="left"/>
    </xf>
    <xf numFmtId="0" fontId="0" fillId="0" borderId="17" xfId="0" applyNumberFormat="1" applyFill="1" applyBorder="1" applyAlignment="1">
      <alignment horizontal="center"/>
    </xf>
    <xf numFmtId="168" fontId="0" fillId="0" borderId="17" xfId="0" applyNumberFormat="1" applyFill="1" applyBorder="1" applyAlignment="1">
      <alignment horizontal="center"/>
    </xf>
    <xf numFmtId="0" fontId="0" fillId="0" borderId="18" xfId="0" applyFill="1" applyBorder="1"/>
    <xf numFmtId="0" fontId="0" fillId="0" borderId="19" xfId="0" applyFont="1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168" fontId="0" fillId="0" borderId="20" xfId="0" applyNumberFormat="1" applyFill="1" applyBorder="1" applyAlignment="1">
      <alignment horizontal="center"/>
    </xf>
    <xf numFmtId="0" fontId="0" fillId="0" borderId="20" xfId="0" applyNumberFormat="1" applyFill="1" applyBorder="1" applyAlignment="1">
      <alignment horizontal="center"/>
    </xf>
    <xf numFmtId="0" fontId="0" fillId="0" borderId="23" xfId="0" applyFill="1" applyBorder="1"/>
    <xf numFmtId="168" fontId="0" fillId="0" borderId="10" xfId="0" applyNumberFormat="1" applyFill="1" applyBorder="1" applyAlignment="1">
      <alignment horizontal="center"/>
    </xf>
    <xf numFmtId="168" fontId="0" fillId="0" borderId="10" xfId="0" applyNumberFormat="1" applyBorder="1" applyAlignment="1">
      <alignment horizontal="center"/>
    </xf>
    <xf numFmtId="169" fontId="0" fillId="0" borderId="17" xfId="0" applyNumberFormat="1" applyFill="1" applyBorder="1" applyAlignment="1">
      <alignment horizontal="center"/>
    </xf>
    <xf numFmtId="169" fontId="0" fillId="0" borderId="20" xfId="0" applyNumberFormat="1" applyFill="1" applyBorder="1" applyAlignment="1">
      <alignment horizontal="center"/>
    </xf>
    <xf numFmtId="169" fontId="0" fillId="0" borderId="10" xfId="0" applyNumberFormat="1" applyBorder="1" applyAlignment="1">
      <alignment horizontal="center"/>
    </xf>
    <xf numFmtId="169" fontId="0" fillId="4" borderId="20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6" xfId="0" applyFon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4" fontId="0" fillId="0" borderId="15" xfId="0" applyNumberFormat="1" applyFont="1" applyFill="1" applyBorder="1" applyAlignment="1">
      <alignment horizontal="center"/>
    </xf>
    <xf numFmtId="14" fontId="0" fillId="0" borderId="19" xfId="0" applyNumberFormat="1" applyFont="1" applyFill="1" applyBorder="1" applyAlignment="1">
      <alignment horizontal="center"/>
    </xf>
    <xf numFmtId="169" fontId="0" fillId="2" borderId="20" xfId="0" applyNumberFormat="1" applyFill="1" applyBorder="1" applyAlignment="1">
      <alignment horizontal="center"/>
    </xf>
    <xf numFmtId="0" fontId="0" fillId="0" borderId="14" xfId="0" applyBorder="1" applyAlignment="1">
      <alignment horizontal="center"/>
    </xf>
    <xf numFmtId="168" fontId="0" fillId="0" borderId="14" xfId="0" applyNumberFormat="1" applyFill="1" applyBorder="1" applyAlignment="1">
      <alignment horizontal="center"/>
    </xf>
    <xf numFmtId="0" fontId="0" fillId="0" borderId="14" xfId="0" applyNumberFormat="1" applyBorder="1" applyAlignment="1">
      <alignment horizontal="center"/>
    </xf>
    <xf numFmtId="169" fontId="0" fillId="0" borderId="14" xfId="0" applyNumberForma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166" fontId="1" fillId="0" borderId="1" xfId="0" applyNumberFormat="1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left"/>
    </xf>
    <xf numFmtId="0" fontId="0" fillId="0" borderId="10" xfId="0" applyBorder="1" applyAlignment="1">
      <alignment horizontal="left"/>
    </xf>
    <xf numFmtId="166" fontId="3" fillId="0" borderId="10" xfId="0" applyNumberFormat="1" applyFont="1" applyFill="1" applyBorder="1" applyAlignment="1">
      <alignment horizontal="center"/>
    </xf>
    <xf numFmtId="0" fontId="3" fillId="0" borderId="10" xfId="0" applyNumberFormat="1" applyFont="1" applyFill="1" applyBorder="1" applyAlignment="1">
      <alignment horizontal="center"/>
    </xf>
    <xf numFmtId="165" fontId="3" fillId="0" borderId="10" xfId="0" applyNumberFormat="1" applyFont="1" applyFill="1" applyBorder="1" applyAlignment="1">
      <alignment horizontal="center"/>
    </xf>
    <xf numFmtId="164" fontId="0" fillId="0" borderId="10" xfId="0" applyNumberFormat="1" applyBorder="1" applyAlignment="1">
      <alignment horizontal="left"/>
    </xf>
    <xf numFmtId="166" fontId="1" fillId="0" borderId="10" xfId="0" applyNumberFormat="1" applyFont="1" applyFill="1" applyBorder="1" applyAlignment="1">
      <alignment horizontal="center"/>
    </xf>
    <xf numFmtId="0" fontId="1" fillId="0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center"/>
    </xf>
    <xf numFmtId="164" fontId="0" fillId="5" borderId="10" xfId="0" applyNumberFormat="1" applyFill="1" applyBorder="1" applyAlignment="1">
      <alignment horizontal="center"/>
    </xf>
    <xf numFmtId="0" fontId="0" fillId="5" borderId="10" xfId="0" applyFill="1" applyBorder="1" applyAlignment="1"/>
    <xf numFmtId="166" fontId="0" fillId="5" borderId="10" xfId="0" applyNumberFormat="1" applyFill="1" applyBorder="1" applyAlignment="1">
      <alignment horizontal="center"/>
    </xf>
    <xf numFmtId="0" fontId="0" fillId="5" borderId="10" xfId="0" applyNumberFormat="1" applyFill="1" applyBorder="1" applyAlignment="1">
      <alignment horizontal="center"/>
    </xf>
    <xf numFmtId="164" fontId="1" fillId="5" borderId="10" xfId="0" applyNumberFormat="1" applyFont="1" applyFill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7" fontId="0" fillId="5" borderId="10" xfId="0" applyNumberFormat="1" applyFill="1" applyBorder="1" applyAlignment="1">
      <alignment horizontal="left"/>
    </xf>
    <xf numFmtId="3" fontId="1" fillId="0" borderId="10" xfId="0" applyNumberFormat="1" applyFont="1" applyFill="1" applyBorder="1" applyAlignment="1">
      <alignment horizontal="center"/>
    </xf>
    <xf numFmtId="169" fontId="0" fillId="0" borderId="10" xfId="0" applyNumberFormat="1" applyFill="1" applyBorder="1" applyAlignment="1">
      <alignment horizontal="center"/>
    </xf>
    <xf numFmtId="168" fontId="0" fillId="5" borderId="10" xfId="0" applyNumberFormat="1" applyFill="1" applyBorder="1" applyAlignment="1">
      <alignment horizontal="center"/>
    </xf>
    <xf numFmtId="169" fontId="0" fillId="5" borderId="10" xfId="0" applyNumberFormat="1" applyFill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7" xfId="0" applyFont="1" applyBorder="1" applyAlignment="1">
      <alignment horizontal="left"/>
    </xf>
    <xf numFmtId="166" fontId="1" fillId="0" borderId="17" xfId="0" applyNumberFormat="1" applyFont="1" applyBorder="1" applyAlignment="1">
      <alignment horizontal="center"/>
    </xf>
    <xf numFmtId="0" fontId="1" fillId="0" borderId="17" xfId="0" applyNumberFormat="1" applyFont="1" applyBorder="1" applyAlignment="1">
      <alignment horizontal="center"/>
    </xf>
    <xf numFmtId="166" fontId="0" fillId="0" borderId="17" xfId="0" applyNumberFormat="1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0" xfId="0" applyFont="1" applyBorder="1" applyAlignment="1">
      <alignment horizontal="left"/>
    </xf>
    <xf numFmtId="166" fontId="1" fillId="0" borderId="20" xfId="0" applyNumberFormat="1" applyFont="1" applyBorder="1" applyAlignment="1">
      <alignment horizontal="center"/>
    </xf>
    <xf numFmtId="0" fontId="1" fillId="0" borderId="20" xfId="0" applyNumberFormat="1" applyFont="1" applyBorder="1" applyAlignment="1">
      <alignment horizontal="center"/>
    </xf>
    <xf numFmtId="166" fontId="0" fillId="0" borderId="20" xfId="0" applyNumberFormat="1" applyFont="1" applyBorder="1" applyAlignment="1">
      <alignment horizontal="center"/>
    </xf>
    <xf numFmtId="165" fontId="0" fillId="2" borderId="20" xfId="0" applyNumberFormat="1" applyFont="1" applyFill="1" applyBorder="1" applyAlignment="1">
      <alignment horizontal="left"/>
    </xf>
    <xf numFmtId="17" fontId="0" fillId="0" borderId="20" xfId="0" applyNumberFormat="1" applyFont="1" applyBorder="1" applyAlignment="1">
      <alignment horizontal="left"/>
    </xf>
    <xf numFmtId="17" fontId="0" fillId="0" borderId="21" xfId="0" applyNumberFormat="1" applyFont="1" applyBorder="1" applyAlignment="1">
      <alignment horizontal="left"/>
    </xf>
    <xf numFmtId="164" fontId="0" fillId="0" borderId="14" xfId="0" applyNumberFormat="1" applyFill="1" applyBorder="1" applyAlignment="1">
      <alignment horizontal="center"/>
    </xf>
    <xf numFmtId="164" fontId="0" fillId="0" borderId="14" xfId="0" applyNumberFormat="1" applyFill="1" applyBorder="1" applyAlignment="1"/>
    <xf numFmtId="165" fontId="0" fillId="0" borderId="14" xfId="0" applyNumberFormat="1" applyFont="1" applyFill="1" applyBorder="1" applyAlignment="1">
      <alignment horizontal="left"/>
    </xf>
    <xf numFmtId="0" fontId="1" fillId="0" borderId="14" xfId="0" applyFont="1" applyFill="1" applyBorder="1" applyAlignment="1">
      <alignment horizontal="left"/>
    </xf>
    <xf numFmtId="14" fontId="0" fillId="0" borderId="15" xfId="0" applyNumberFormat="1" applyFill="1" applyBorder="1" applyAlignment="1">
      <alignment horizontal="center"/>
    </xf>
    <xf numFmtId="166" fontId="0" fillId="0" borderId="17" xfId="0" applyNumberFormat="1" applyFill="1" applyBorder="1" applyAlignment="1">
      <alignment horizontal="center"/>
    </xf>
    <xf numFmtId="165" fontId="0" fillId="0" borderId="17" xfId="0" applyNumberFormat="1" applyFont="1" applyFill="1" applyBorder="1" applyAlignment="1">
      <alignment horizontal="center"/>
    </xf>
    <xf numFmtId="0" fontId="0" fillId="0" borderId="18" xfId="0" applyFill="1" applyBorder="1" applyAlignment="1">
      <alignment horizontal="left"/>
    </xf>
    <xf numFmtId="14" fontId="0" fillId="0" borderId="22" xfId="0" applyNumberFormat="1" applyFill="1" applyBorder="1" applyAlignment="1">
      <alignment horizontal="center"/>
    </xf>
    <xf numFmtId="0" fontId="0" fillId="0" borderId="23" xfId="0" applyFill="1" applyBorder="1" applyAlignment="1">
      <alignment horizontal="left"/>
    </xf>
    <xf numFmtId="0" fontId="0" fillId="0" borderId="22" xfId="0" applyFill="1" applyBorder="1" applyAlignment="1">
      <alignment horizontal="center"/>
    </xf>
    <xf numFmtId="0" fontId="0" fillId="0" borderId="23" xfId="0" applyBorder="1" applyAlignment="1">
      <alignment horizontal="left"/>
    </xf>
    <xf numFmtId="164" fontId="0" fillId="0" borderId="23" xfId="0" applyNumberFormat="1" applyBorder="1" applyAlignment="1">
      <alignment horizontal="left"/>
    </xf>
    <xf numFmtId="0" fontId="0" fillId="0" borderId="19" xfId="0" applyFill="1" applyBorder="1" applyAlignment="1">
      <alignment horizontal="center"/>
    </xf>
    <xf numFmtId="164" fontId="0" fillId="0" borderId="20" xfId="0" applyNumberFormat="1" applyFill="1" applyBorder="1" applyAlignment="1">
      <alignment horizontal="center"/>
    </xf>
    <xf numFmtId="164" fontId="0" fillId="0" borderId="20" xfId="0" applyNumberFormat="1" applyFill="1" applyBorder="1" applyAlignment="1"/>
    <xf numFmtId="166" fontId="1" fillId="0" borderId="20" xfId="0" applyNumberFormat="1" applyFont="1" applyFill="1" applyBorder="1" applyAlignment="1">
      <alignment horizontal="center"/>
    </xf>
    <xf numFmtId="0" fontId="1" fillId="0" borderId="20" xfId="0" applyNumberFormat="1" applyFont="1" applyFill="1" applyBorder="1" applyAlignment="1">
      <alignment horizontal="center"/>
    </xf>
    <xf numFmtId="166" fontId="0" fillId="0" borderId="20" xfId="0" applyNumberFormat="1" applyFill="1" applyBorder="1" applyAlignment="1">
      <alignment horizontal="center"/>
    </xf>
    <xf numFmtId="165" fontId="0" fillId="4" borderId="20" xfId="0" applyNumberFormat="1" applyFont="1" applyFill="1" applyBorder="1"/>
    <xf numFmtId="17" fontId="0" fillId="0" borderId="20" xfId="0" applyNumberFormat="1" applyFill="1" applyBorder="1" applyAlignment="1">
      <alignment horizontal="left"/>
    </xf>
    <xf numFmtId="17" fontId="0" fillId="0" borderId="21" xfId="0" applyNumberFormat="1" applyFill="1" applyBorder="1" applyAlignment="1">
      <alignment horizontal="left"/>
    </xf>
    <xf numFmtId="14" fontId="0" fillId="0" borderId="24" xfId="0" applyNumberFormat="1" applyFill="1" applyBorder="1" applyAlignment="1">
      <alignment horizontal="center"/>
    </xf>
    <xf numFmtId="0" fontId="0" fillId="0" borderId="13" xfId="0" applyFill="1" applyBorder="1" applyAlignment="1">
      <alignment horizontal="left"/>
    </xf>
    <xf numFmtId="165" fontId="0" fillId="2" borderId="13" xfId="0" applyNumberFormat="1" applyFont="1" applyFill="1" applyBorder="1"/>
    <xf numFmtId="17" fontId="0" fillId="0" borderId="13" xfId="0" applyNumberFormat="1" applyFill="1" applyBorder="1" applyAlignment="1">
      <alignment horizontal="left"/>
    </xf>
    <xf numFmtId="17" fontId="0" fillId="0" borderId="25" xfId="0" applyNumberFormat="1" applyFill="1" applyBorder="1" applyAlignment="1">
      <alignment horizontal="left"/>
    </xf>
    <xf numFmtId="0" fontId="0" fillId="5" borderId="14" xfId="0" applyFill="1" applyBorder="1" applyAlignment="1">
      <alignment horizontal="center"/>
    </xf>
    <xf numFmtId="164" fontId="0" fillId="5" borderId="14" xfId="0" applyNumberFormat="1" applyFill="1" applyBorder="1" applyAlignment="1">
      <alignment horizontal="center"/>
    </xf>
    <xf numFmtId="0" fontId="0" fillId="5" borderId="14" xfId="0" applyFill="1" applyBorder="1" applyAlignment="1"/>
    <xf numFmtId="166" fontId="0" fillId="5" borderId="14" xfId="0" applyNumberFormat="1" applyFill="1" applyBorder="1" applyAlignment="1">
      <alignment horizontal="center"/>
    </xf>
    <xf numFmtId="0" fontId="0" fillId="5" borderId="14" xfId="0" applyNumberFormat="1" applyFill="1" applyBorder="1" applyAlignment="1">
      <alignment horizontal="center"/>
    </xf>
    <xf numFmtId="164" fontId="1" fillId="5" borderId="14" xfId="0" applyNumberFormat="1" applyFont="1" applyFill="1" applyBorder="1" applyAlignment="1">
      <alignment horizontal="left"/>
    </xf>
    <xf numFmtId="0" fontId="1" fillId="5" borderId="14" xfId="0" applyFont="1" applyFill="1" applyBorder="1" applyAlignment="1">
      <alignment horizontal="left"/>
    </xf>
    <xf numFmtId="164" fontId="0" fillId="0" borderId="17" xfId="0" applyNumberFormat="1" applyFill="1" applyBorder="1" applyAlignment="1">
      <alignment horizontal="center"/>
    </xf>
    <xf numFmtId="0" fontId="0" fillId="0" borderId="17" xfId="0" applyFill="1" applyBorder="1" applyAlignment="1"/>
    <xf numFmtId="165" fontId="0" fillId="0" borderId="17" xfId="0" applyNumberFormat="1" applyFont="1" applyFill="1" applyBorder="1"/>
    <xf numFmtId="0" fontId="0" fillId="0" borderId="26" xfId="0" applyFill="1" applyBorder="1" applyAlignment="1">
      <alignment horizontal="center"/>
    </xf>
    <xf numFmtId="0" fontId="1" fillId="0" borderId="27" xfId="0" applyFont="1" applyFill="1" applyBorder="1" applyAlignment="1">
      <alignment horizontal="left"/>
    </xf>
    <xf numFmtId="0" fontId="1" fillId="0" borderId="23" xfId="0" applyFont="1" applyFill="1" applyBorder="1" applyAlignment="1">
      <alignment horizontal="left"/>
    </xf>
    <xf numFmtId="0" fontId="0" fillId="0" borderId="20" xfId="0" applyFont="1" applyFill="1" applyBorder="1" applyAlignment="1">
      <alignment horizontal="center"/>
    </xf>
    <xf numFmtId="166" fontId="1" fillId="0" borderId="20" xfId="0" applyNumberFormat="1" applyFont="1" applyFill="1" applyBorder="1" applyAlignment="1">
      <alignment horizontal="left"/>
    </xf>
    <xf numFmtId="0" fontId="1" fillId="0" borderId="20" xfId="0" applyNumberFormat="1" applyFont="1" applyFill="1" applyBorder="1" applyAlignment="1">
      <alignment horizontal="left"/>
    </xf>
    <xf numFmtId="166" fontId="0" fillId="0" borderId="20" xfId="0" applyNumberFormat="1" applyFont="1" applyFill="1" applyBorder="1" applyAlignment="1">
      <alignment horizontal="left"/>
    </xf>
    <xf numFmtId="17" fontId="0" fillId="0" borderId="20" xfId="0" applyNumberFormat="1" applyFont="1" applyFill="1" applyBorder="1" applyAlignment="1">
      <alignment horizontal="left"/>
    </xf>
    <xf numFmtId="17" fontId="0" fillId="0" borderId="21" xfId="0" applyNumberFormat="1" applyFont="1" applyFill="1" applyBorder="1" applyAlignment="1">
      <alignment horizontal="left"/>
    </xf>
    <xf numFmtId="0" fontId="0" fillId="0" borderId="24" xfId="0" applyFill="1" applyBorder="1" applyAlignment="1">
      <alignment horizontal="center"/>
    </xf>
    <xf numFmtId="164" fontId="0" fillId="5" borderId="14" xfId="0" applyNumberFormat="1" applyFill="1" applyBorder="1" applyAlignment="1"/>
    <xf numFmtId="0" fontId="0" fillId="5" borderId="14" xfId="0" applyFill="1" applyBorder="1"/>
    <xf numFmtId="0" fontId="0" fillId="5" borderId="14" xfId="0" applyFill="1" applyBorder="1" applyAlignment="1">
      <alignment horizontal="left"/>
    </xf>
    <xf numFmtId="0" fontId="0" fillId="5" borderId="26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left"/>
    </xf>
    <xf numFmtId="14" fontId="0" fillId="5" borderId="22" xfId="0" applyNumberFormat="1" applyFont="1" applyFill="1" applyBorder="1" applyAlignment="1">
      <alignment horizontal="center"/>
    </xf>
    <xf numFmtId="0" fontId="1" fillId="5" borderId="23" xfId="0" applyFont="1" applyFill="1" applyBorder="1" applyAlignment="1">
      <alignment horizontal="left"/>
    </xf>
    <xf numFmtId="164" fontId="0" fillId="5" borderId="20" xfId="0" applyNumberFormat="1" applyFill="1" applyBorder="1" applyAlignment="1">
      <alignment horizontal="center"/>
    </xf>
    <xf numFmtId="0" fontId="0" fillId="5" borderId="20" xfId="0" applyFill="1" applyBorder="1" applyAlignment="1"/>
    <xf numFmtId="0" fontId="0" fillId="5" borderId="20" xfId="0" applyFill="1" applyBorder="1" applyAlignment="1">
      <alignment horizontal="center"/>
    </xf>
    <xf numFmtId="17" fontId="0" fillId="5" borderId="20" xfId="0" applyNumberFormat="1" applyFont="1" applyFill="1" applyBorder="1" applyAlignment="1">
      <alignment horizontal="left"/>
    </xf>
    <xf numFmtId="165" fontId="0" fillId="4" borderId="13" xfId="0" applyNumberFormat="1" applyFont="1" applyFill="1" applyBorder="1"/>
    <xf numFmtId="0" fontId="0" fillId="0" borderId="18" xfId="0" applyBorder="1" applyAlignment="1">
      <alignment horizontal="left"/>
    </xf>
    <xf numFmtId="0" fontId="0" fillId="5" borderId="27" xfId="0" applyFill="1" applyBorder="1" applyAlignment="1">
      <alignment horizontal="left"/>
    </xf>
    <xf numFmtId="14" fontId="0" fillId="5" borderId="19" xfId="0" applyNumberFormat="1" applyFont="1" applyFill="1" applyBorder="1" applyAlignment="1">
      <alignment horizontal="center"/>
    </xf>
    <xf numFmtId="0" fontId="0" fillId="5" borderId="20" xfId="0" applyFont="1" applyFill="1" applyBorder="1" applyAlignment="1">
      <alignment horizontal="center"/>
    </xf>
    <xf numFmtId="164" fontId="0" fillId="5" borderId="20" xfId="0" applyNumberFormat="1" applyFill="1" applyBorder="1" applyAlignment="1"/>
    <xf numFmtId="165" fontId="0" fillId="2" borderId="20" xfId="0" applyNumberFormat="1" applyFill="1" applyBorder="1"/>
    <xf numFmtId="17" fontId="0" fillId="5" borderId="20" xfId="0" applyNumberFormat="1" applyFill="1" applyBorder="1" applyAlignment="1">
      <alignment horizontal="left"/>
    </xf>
    <xf numFmtId="17" fontId="0" fillId="5" borderId="21" xfId="0" applyNumberFormat="1" applyFill="1" applyBorder="1" applyAlignment="1">
      <alignment horizontal="left"/>
    </xf>
    <xf numFmtId="14" fontId="0" fillId="5" borderId="17" xfId="0" applyNumberForma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7" xfId="0" applyFill="1" applyBorder="1" applyAlignment="1"/>
    <xf numFmtId="0" fontId="0" fillId="5" borderId="17" xfId="0" applyFill="1" applyBorder="1"/>
    <xf numFmtId="0" fontId="0" fillId="5" borderId="17" xfId="0" applyFill="1" applyBorder="1" applyAlignment="1">
      <alignment horizontal="left"/>
    </xf>
    <xf numFmtId="0" fontId="0" fillId="5" borderId="18" xfId="0" applyFill="1" applyBorder="1" applyAlignment="1">
      <alignment horizontal="left"/>
    </xf>
    <xf numFmtId="17" fontId="0" fillId="5" borderId="23" xfId="0" applyNumberFormat="1" applyFill="1" applyBorder="1" applyAlignment="1">
      <alignment horizontal="left"/>
    </xf>
    <xf numFmtId="14" fontId="0" fillId="0" borderId="22" xfId="0" applyNumberFormat="1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17" fontId="0" fillId="4" borderId="21" xfId="0" applyNumberFormat="1" applyFill="1" applyBorder="1" applyAlignment="1">
      <alignment horizontal="left"/>
    </xf>
    <xf numFmtId="0" fontId="0" fillId="5" borderId="24" xfId="0" applyFon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3" xfId="0" applyFill="1" applyBorder="1" applyAlignment="1"/>
    <xf numFmtId="166" fontId="0" fillId="5" borderId="13" xfId="0" applyNumberFormat="1" applyFill="1" applyBorder="1" applyAlignment="1">
      <alignment horizontal="center"/>
    </xf>
    <xf numFmtId="0" fontId="0" fillId="5" borderId="13" xfId="0" applyNumberFormat="1" applyFill="1" applyBorder="1" applyAlignment="1">
      <alignment horizontal="center"/>
    </xf>
    <xf numFmtId="165" fontId="0" fillId="4" borderId="13" xfId="0" applyNumberFormat="1" applyFill="1" applyBorder="1"/>
    <xf numFmtId="17" fontId="0" fillId="5" borderId="13" xfId="0" applyNumberFormat="1" applyFill="1" applyBorder="1" applyAlignment="1">
      <alignment horizontal="left"/>
    </xf>
    <xf numFmtId="17" fontId="0" fillId="5" borderId="25" xfId="0" applyNumberFormat="1" applyFill="1" applyBorder="1" applyAlignment="1">
      <alignment horizontal="left"/>
    </xf>
    <xf numFmtId="0" fontId="0" fillId="0" borderId="26" xfId="0" applyFont="1" applyFill="1" applyBorder="1" applyAlignment="1">
      <alignment horizontal="center"/>
    </xf>
    <xf numFmtId="169" fontId="0" fillId="0" borderId="14" xfId="0" applyNumberFormat="1" applyFill="1" applyBorder="1" applyAlignment="1">
      <alignment horizontal="center"/>
    </xf>
    <xf numFmtId="0" fontId="0" fillId="0" borderId="14" xfId="0" applyFill="1" applyBorder="1"/>
    <xf numFmtId="0" fontId="0" fillId="0" borderId="27" xfId="0" applyFill="1" applyBorder="1"/>
    <xf numFmtId="14" fontId="0" fillId="0" borderId="17" xfId="0" applyNumberFormat="1" applyFill="1" applyBorder="1" applyAlignment="1">
      <alignment horizontal="center"/>
    </xf>
    <xf numFmtId="0" fontId="0" fillId="0" borderId="17" xfId="0" applyFill="1" applyBorder="1"/>
    <xf numFmtId="0" fontId="0" fillId="0" borderId="20" xfId="0" applyBorder="1" applyAlignment="1">
      <alignment horizontal="left"/>
    </xf>
    <xf numFmtId="166" fontId="0" fillId="0" borderId="20" xfId="0" applyNumberFormat="1" applyBorder="1" applyAlignment="1">
      <alignment horizontal="center"/>
    </xf>
    <xf numFmtId="0" fontId="0" fillId="0" borderId="20" xfId="0" applyNumberFormat="1" applyBorder="1" applyAlignment="1">
      <alignment horizontal="center"/>
    </xf>
    <xf numFmtId="167" fontId="0" fillId="0" borderId="20" xfId="0" applyNumberFormat="1" applyFill="1" applyBorder="1" applyAlignment="1">
      <alignment horizontal="center"/>
    </xf>
    <xf numFmtId="167" fontId="0" fillId="4" borderId="20" xfId="0" applyNumberFormat="1" applyFill="1" applyBorder="1"/>
    <xf numFmtId="14" fontId="0" fillId="0" borderId="24" xfId="0" applyNumberFormat="1" applyFont="1" applyFill="1" applyBorder="1" applyAlignment="1">
      <alignment horizontal="center"/>
    </xf>
    <xf numFmtId="14" fontId="0" fillId="0" borderId="13" xfId="0" applyNumberFormat="1" applyFill="1" applyBorder="1" applyAlignment="1">
      <alignment horizontal="center"/>
    </xf>
    <xf numFmtId="166" fontId="1" fillId="0" borderId="13" xfId="0" applyNumberFormat="1" applyFont="1" applyFill="1" applyBorder="1" applyAlignment="1">
      <alignment horizontal="center"/>
    </xf>
    <xf numFmtId="0" fontId="1" fillId="0" borderId="13" xfId="0" applyNumberFormat="1" applyFont="1" applyFill="1" applyBorder="1" applyAlignment="1">
      <alignment horizontal="center"/>
    </xf>
    <xf numFmtId="14" fontId="0" fillId="5" borderId="26" xfId="0" applyNumberFormat="1" applyFont="1" applyFill="1" applyBorder="1" applyAlignment="1">
      <alignment horizontal="center"/>
    </xf>
    <xf numFmtId="168" fontId="0" fillId="5" borderId="14" xfId="0" applyNumberFormat="1" applyFill="1" applyBorder="1" applyAlignment="1">
      <alignment horizontal="center"/>
    </xf>
    <xf numFmtId="169" fontId="0" fillId="5" borderId="14" xfId="0" applyNumberFormat="1" applyFill="1" applyBorder="1" applyAlignment="1">
      <alignment horizontal="center"/>
    </xf>
    <xf numFmtId="17" fontId="0" fillId="5" borderId="14" xfId="0" applyNumberFormat="1" applyFill="1" applyBorder="1" applyAlignment="1">
      <alignment horizontal="left"/>
    </xf>
    <xf numFmtId="17" fontId="0" fillId="5" borderId="27" xfId="0" applyNumberFormat="1" applyFill="1" applyBorder="1" applyAlignment="1">
      <alignment horizontal="left"/>
    </xf>
    <xf numFmtId="0" fontId="0" fillId="5" borderId="13" xfId="0" applyFill="1" applyBorder="1" applyAlignment="1">
      <alignment horizontal="left"/>
    </xf>
    <xf numFmtId="168" fontId="0" fillId="5" borderId="13" xfId="0" applyNumberFormat="1" applyFill="1" applyBorder="1" applyAlignment="1">
      <alignment horizontal="center"/>
    </xf>
    <xf numFmtId="169" fontId="0" fillId="5" borderId="13" xfId="0" applyNumberFormat="1" applyFill="1" applyBorder="1" applyAlignment="1">
      <alignment horizontal="center"/>
    </xf>
    <xf numFmtId="169" fontId="0" fillId="4" borderId="13" xfId="0" applyNumberFormat="1" applyFill="1" applyBorder="1" applyAlignment="1">
      <alignment horizontal="center"/>
    </xf>
    <xf numFmtId="14" fontId="0" fillId="0" borderId="26" xfId="0" applyNumberFormat="1" applyFont="1" applyFill="1" applyBorder="1" applyAlignment="1">
      <alignment horizontal="center"/>
    </xf>
    <xf numFmtId="17" fontId="0" fillId="2" borderId="21" xfId="0" applyNumberFormat="1" applyFill="1" applyBorder="1" applyAlignment="1">
      <alignment horizontal="left"/>
    </xf>
    <xf numFmtId="0" fontId="3" fillId="0" borderId="33" xfId="0" applyFont="1" applyBorder="1"/>
    <xf numFmtId="0" fontId="0" fillId="0" borderId="15" xfId="0" applyFont="1" applyFill="1" applyBorder="1" applyAlignment="1">
      <alignment horizontal="center"/>
    </xf>
    <xf numFmtId="164" fontId="0" fillId="0" borderId="17" xfId="0" applyNumberFormat="1" applyFill="1" applyBorder="1" applyAlignment="1"/>
    <xf numFmtId="0" fontId="0" fillId="0" borderId="14" xfId="0" applyBorder="1" applyAlignment="1">
      <alignment horizontal="left"/>
    </xf>
    <xf numFmtId="166" fontId="0" fillId="0" borderId="14" xfId="0" applyNumberFormat="1" applyBorder="1" applyAlignment="1">
      <alignment horizontal="center"/>
    </xf>
    <xf numFmtId="167" fontId="0" fillId="0" borderId="14" xfId="0" applyNumberFormat="1" applyFill="1" applyBorder="1" applyAlignment="1">
      <alignment horizontal="center"/>
    </xf>
    <xf numFmtId="166" fontId="0" fillId="2" borderId="20" xfId="0" applyNumberFormat="1" applyFill="1" applyBorder="1"/>
    <xf numFmtId="0" fontId="0" fillId="0" borderId="21" xfId="0" applyFill="1" applyBorder="1" applyAlignment="1">
      <alignment horizontal="left"/>
    </xf>
    <xf numFmtId="16" fontId="0" fillId="0" borderId="20" xfId="0" applyNumberFormat="1" applyFill="1" applyBorder="1" applyAlignment="1">
      <alignment horizontal="left"/>
    </xf>
    <xf numFmtId="164" fontId="1" fillId="0" borderId="8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AB07-33C3-438A-AF3A-92D52C3E4135}">
  <dimension ref="B4:O108"/>
  <sheetViews>
    <sheetView topLeftCell="A88" zoomScaleNormal="100" workbookViewId="0">
      <selection activeCell="B100" sqref="B100:O108"/>
    </sheetView>
  </sheetViews>
  <sheetFormatPr defaultRowHeight="14.4" x14ac:dyDescent="0.3"/>
  <cols>
    <col min="1" max="1" width="8.88671875" style="8"/>
    <col min="2" max="2" width="10.6640625" style="134" bestFit="1" customWidth="1"/>
    <col min="3" max="3" width="8.88671875" style="8"/>
    <col min="4" max="4" width="13.5546875" style="8" bestFit="1" customWidth="1"/>
    <col min="5" max="7" width="13.5546875" style="8" customWidth="1"/>
    <col min="8" max="8" width="12.6640625" style="8" bestFit="1" customWidth="1"/>
    <col min="9" max="9" width="8.88671875" style="8"/>
    <col min="10" max="11" width="13.33203125" style="8" customWidth="1"/>
    <col min="12" max="12" width="8.88671875" style="8"/>
    <col min="13" max="13" width="13.21875" style="8" bestFit="1" customWidth="1"/>
    <col min="14" max="14" width="8.88671875" style="8"/>
    <col min="15" max="15" width="11.77734375" style="8" bestFit="1" customWidth="1"/>
    <col min="16" max="16" width="8.88671875" style="8"/>
    <col min="17" max="17" width="11.33203125" style="8" bestFit="1" customWidth="1"/>
    <col min="18" max="16384" width="8.88671875" style="8"/>
  </cols>
  <sheetData>
    <row r="4" spans="2:15" x14ac:dyDescent="0.3">
      <c r="B4" s="135" t="s">
        <v>130</v>
      </c>
      <c r="C4" s="9" t="s">
        <v>0</v>
      </c>
      <c r="D4" s="9" t="s">
        <v>12</v>
      </c>
      <c r="E4" s="9" t="s">
        <v>58</v>
      </c>
      <c r="F4" s="9" t="s">
        <v>3</v>
      </c>
      <c r="G4" s="9" t="s">
        <v>76</v>
      </c>
      <c r="H4" s="9" t="s">
        <v>1</v>
      </c>
      <c r="I4" s="27"/>
      <c r="J4" s="9" t="s">
        <v>2</v>
      </c>
      <c r="K4" s="9" t="s">
        <v>13</v>
      </c>
      <c r="L4" s="9" t="s">
        <v>14</v>
      </c>
      <c r="M4" s="9" t="s">
        <v>8</v>
      </c>
      <c r="N4" s="27"/>
      <c r="O4" s="9" t="s">
        <v>3</v>
      </c>
    </row>
    <row r="5" spans="2:15" x14ac:dyDescent="0.3">
      <c r="B5" s="136">
        <v>2025</v>
      </c>
      <c r="C5" s="8" t="s">
        <v>24</v>
      </c>
      <c r="D5" s="8" t="s">
        <v>15</v>
      </c>
      <c r="E5" s="8">
        <v>750</v>
      </c>
      <c r="H5" s="8">
        <v>750</v>
      </c>
      <c r="J5" s="28" t="s">
        <v>23</v>
      </c>
      <c r="K5" s="27"/>
      <c r="L5" s="17"/>
      <c r="M5" s="8">
        <f>H5*$J$7</f>
        <v>750</v>
      </c>
      <c r="O5" s="8">
        <f>H5-M5</f>
        <v>0</v>
      </c>
    </row>
    <row r="6" spans="2:15" x14ac:dyDescent="0.3">
      <c r="D6" s="8" t="s">
        <v>16</v>
      </c>
      <c r="E6" s="8">
        <v>200</v>
      </c>
      <c r="H6" s="8">
        <v>200</v>
      </c>
      <c r="J6" s="28">
        <v>30850</v>
      </c>
      <c r="K6" s="27"/>
      <c r="L6" s="17"/>
      <c r="M6" s="8">
        <f t="shared" ref="M6:M9" si="0">H6*$J$7</f>
        <v>200</v>
      </c>
      <c r="O6" s="8">
        <f t="shared" ref="O6:O9" si="1">H6-M6</f>
        <v>0</v>
      </c>
    </row>
    <row r="7" spans="2:15" x14ac:dyDescent="0.3">
      <c r="D7" s="8" t="s">
        <v>17</v>
      </c>
      <c r="E7" s="8">
        <v>100</v>
      </c>
      <c r="H7" s="8">
        <v>100</v>
      </c>
      <c r="J7" s="32">
        <f>J6/H10</f>
        <v>1</v>
      </c>
      <c r="L7" s="17"/>
      <c r="M7" s="8">
        <f t="shared" si="0"/>
        <v>100</v>
      </c>
      <c r="O7" s="8">
        <f t="shared" si="1"/>
        <v>0</v>
      </c>
    </row>
    <row r="8" spans="2:15" x14ac:dyDescent="0.3">
      <c r="D8" s="8" t="s">
        <v>18</v>
      </c>
      <c r="E8" s="106">
        <v>28000</v>
      </c>
      <c r="F8" s="17"/>
      <c r="H8" s="106">
        <v>28000</v>
      </c>
      <c r="M8" s="8">
        <f t="shared" si="0"/>
        <v>28000</v>
      </c>
      <c r="O8" s="8">
        <f t="shared" si="1"/>
        <v>0</v>
      </c>
    </row>
    <row r="9" spans="2:15" x14ac:dyDescent="0.3">
      <c r="D9" s="8" t="s">
        <v>19</v>
      </c>
      <c r="E9" s="8">
        <v>1800</v>
      </c>
      <c r="H9" s="8">
        <v>1800</v>
      </c>
      <c r="M9" s="8">
        <f t="shared" si="0"/>
        <v>1800</v>
      </c>
      <c r="O9" s="8">
        <f t="shared" si="1"/>
        <v>0</v>
      </c>
    </row>
    <row r="10" spans="2:15" x14ac:dyDescent="0.3">
      <c r="H10" s="13">
        <f>SUM(H5:H9)</f>
        <v>30850</v>
      </c>
      <c r="M10" s="13">
        <f>SUM(M5:M9)</f>
        <v>30850</v>
      </c>
      <c r="O10" s="13">
        <f>SUM(O5:O9)</f>
        <v>0</v>
      </c>
    </row>
    <row r="12" spans="2:15" x14ac:dyDescent="0.3">
      <c r="B12" s="135" t="s">
        <v>130</v>
      </c>
      <c r="C12" s="9" t="s">
        <v>0</v>
      </c>
      <c r="D12" s="9" t="s">
        <v>12</v>
      </c>
      <c r="E12" s="9" t="s">
        <v>58</v>
      </c>
      <c r="F12" s="9" t="s">
        <v>3</v>
      </c>
      <c r="G12" s="9" t="s">
        <v>76</v>
      </c>
      <c r="H12" s="9" t="s">
        <v>1</v>
      </c>
      <c r="I12" s="27"/>
      <c r="J12" s="9" t="s">
        <v>2</v>
      </c>
      <c r="K12" s="9" t="s">
        <v>13</v>
      </c>
      <c r="L12" s="9" t="s">
        <v>14</v>
      </c>
      <c r="M12" s="9" t="s">
        <v>8</v>
      </c>
      <c r="N12" s="27"/>
      <c r="O12" s="9" t="s">
        <v>3</v>
      </c>
    </row>
    <row r="13" spans="2:15" x14ac:dyDescent="0.3">
      <c r="B13" s="136">
        <v>2025</v>
      </c>
      <c r="C13" s="8" t="s">
        <v>121</v>
      </c>
      <c r="D13" s="8" t="s">
        <v>15</v>
      </c>
      <c r="E13" s="8">
        <v>750</v>
      </c>
      <c r="F13" s="8">
        <v>0</v>
      </c>
      <c r="G13" s="8">
        <v>0</v>
      </c>
      <c r="H13" s="8">
        <f>F13+G13</f>
        <v>0</v>
      </c>
      <c r="J13" s="26" t="s">
        <v>56</v>
      </c>
      <c r="K13" s="27"/>
      <c r="L13" s="17"/>
      <c r="M13" s="8">
        <f>E13*$J$15</f>
        <v>1.0859805510534846</v>
      </c>
      <c r="O13" s="8">
        <f>H13+M13</f>
        <v>1.0859805510534846</v>
      </c>
    </row>
    <row r="14" spans="2:15" x14ac:dyDescent="0.3">
      <c r="C14" s="8" t="s">
        <v>47</v>
      </c>
      <c r="D14" s="8" t="s">
        <v>16</v>
      </c>
      <c r="E14" s="8">
        <v>200</v>
      </c>
      <c r="F14" s="8">
        <v>0</v>
      </c>
      <c r="G14" s="8">
        <v>0</v>
      </c>
      <c r="H14" s="8">
        <f t="shared" ref="H14:H18" si="2">F14+G14</f>
        <v>0</v>
      </c>
      <c r="J14" s="26">
        <v>44.67</v>
      </c>
      <c r="K14" s="27"/>
      <c r="L14" s="17"/>
      <c r="M14" s="8">
        <f t="shared" ref="M14:M18" si="3">E14*$J$15</f>
        <v>0.28959481361426254</v>
      </c>
      <c r="O14" s="8">
        <f t="shared" ref="O14:O18" si="4">H14+M14</f>
        <v>0.28959481361426254</v>
      </c>
    </row>
    <row r="15" spans="2:15" x14ac:dyDescent="0.3">
      <c r="D15" s="8" t="s">
        <v>17</v>
      </c>
      <c r="E15" s="8">
        <v>100</v>
      </c>
      <c r="F15" s="8">
        <v>0</v>
      </c>
      <c r="G15" s="8">
        <v>0</v>
      </c>
      <c r="H15" s="8">
        <f t="shared" si="2"/>
        <v>0</v>
      </c>
      <c r="J15" s="31">
        <f>J14/E19</f>
        <v>1.4479740680713128E-3</v>
      </c>
      <c r="L15" s="17"/>
      <c r="M15" s="8">
        <f t="shared" si="3"/>
        <v>0.14479740680713127</v>
      </c>
      <c r="O15" s="8">
        <f t="shared" si="4"/>
        <v>0.14479740680713127</v>
      </c>
    </row>
    <row r="16" spans="2:15" x14ac:dyDescent="0.3">
      <c r="D16" s="8" t="s">
        <v>18</v>
      </c>
      <c r="E16" s="106">
        <v>28000</v>
      </c>
      <c r="F16" s="8">
        <v>0</v>
      </c>
      <c r="G16" s="137">
        <v>1888</v>
      </c>
      <c r="H16" s="8">
        <f t="shared" si="2"/>
        <v>1888</v>
      </c>
      <c r="M16" s="8">
        <f t="shared" si="3"/>
        <v>40.543273905996756</v>
      </c>
      <c r="O16" s="8">
        <f t="shared" si="4"/>
        <v>1928.5432739059968</v>
      </c>
    </row>
    <row r="17" spans="2:15" x14ac:dyDescent="0.3">
      <c r="D17" s="8" t="s">
        <v>19</v>
      </c>
      <c r="E17" s="8">
        <v>1800</v>
      </c>
      <c r="F17" s="8">
        <v>0</v>
      </c>
      <c r="G17" s="8">
        <v>0</v>
      </c>
      <c r="H17" s="8">
        <f t="shared" si="2"/>
        <v>0</v>
      </c>
      <c r="M17" s="8">
        <f t="shared" si="3"/>
        <v>2.606353322528363</v>
      </c>
      <c r="O17" s="8">
        <f t="shared" si="4"/>
        <v>2.606353322528363</v>
      </c>
    </row>
    <row r="18" spans="2:15" x14ac:dyDescent="0.3">
      <c r="D18" s="8" t="s">
        <v>43</v>
      </c>
      <c r="E18" s="8">
        <v>0</v>
      </c>
      <c r="F18" s="8">
        <v>0</v>
      </c>
      <c r="G18" s="137">
        <v>2350</v>
      </c>
      <c r="H18" s="8">
        <f t="shared" si="2"/>
        <v>2350</v>
      </c>
      <c r="M18" s="8">
        <f t="shared" si="3"/>
        <v>0</v>
      </c>
      <c r="O18" s="8">
        <f t="shared" si="4"/>
        <v>2350</v>
      </c>
    </row>
    <row r="19" spans="2:15" x14ac:dyDescent="0.3">
      <c r="E19" s="13">
        <f>SUM(E13:E18)</f>
        <v>30850</v>
      </c>
      <c r="F19" s="13">
        <f>SUM(F13:F18)</f>
        <v>0</v>
      </c>
      <c r="G19" s="13">
        <f>SUM(G13:G18)</f>
        <v>4238</v>
      </c>
      <c r="H19" s="13">
        <f>SUM(H13:H18)</f>
        <v>4238</v>
      </c>
      <c r="M19" s="13">
        <f>SUM(M13:M18)</f>
        <v>44.669999999999995</v>
      </c>
      <c r="O19" s="13">
        <f>SUM(O13:O18)</f>
        <v>4282.67</v>
      </c>
    </row>
    <row r="21" spans="2:15" x14ac:dyDescent="0.3">
      <c r="B21" s="135" t="s">
        <v>130</v>
      </c>
      <c r="C21" s="9" t="s">
        <v>0</v>
      </c>
      <c r="D21" s="9" t="s">
        <v>12</v>
      </c>
      <c r="E21" s="9" t="s">
        <v>58</v>
      </c>
      <c r="F21" s="9" t="s">
        <v>3</v>
      </c>
      <c r="G21" s="9" t="s">
        <v>76</v>
      </c>
      <c r="H21" s="9" t="s">
        <v>1</v>
      </c>
      <c r="I21" s="27"/>
      <c r="J21" s="9" t="s">
        <v>2</v>
      </c>
      <c r="K21" s="9" t="s">
        <v>13</v>
      </c>
      <c r="L21" s="9" t="s">
        <v>14</v>
      </c>
      <c r="M21" s="9" t="s">
        <v>8</v>
      </c>
      <c r="N21" s="27"/>
      <c r="O21" s="9" t="s">
        <v>3</v>
      </c>
    </row>
    <row r="22" spans="2:15" x14ac:dyDescent="0.3">
      <c r="B22" s="136">
        <v>2025</v>
      </c>
      <c r="C22" s="8" t="s">
        <v>60</v>
      </c>
      <c r="D22" s="8" t="s">
        <v>15</v>
      </c>
      <c r="E22" s="8">
        <f>E13+G13</f>
        <v>750</v>
      </c>
      <c r="F22" s="8">
        <f>O13</f>
        <v>1.0859805510534846</v>
      </c>
      <c r="G22" s="8">
        <v>0</v>
      </c>
      <c r="H22" s="8">
        <f>F22+G22</f>
        <v>1.0859805510534846</v>
      </c>
      <c r="J22" s="28" t="s">
        <v>23</v>
      </c>
      <c r="K22" s="27"/>
      <c r="L22" s="17"/>
      <c r="M22" s="8">
        <f>E22*$J$24</f>
        <v>-3.3584131326949387</v>
      </c>
      <c r="O22" s="8">
        <f>H22+M22</f>
        <v>-2.2724325816414543</v>
      </c>
    </row>
    <row r="23" spans="2:15" x14ac:dyDescent="0.3">
      <c r="D23" s="8" t="s">
        <v>16</v>
      </c>
      <c r="E23" s="8">
        <f t="shared" ref="E23:E27" si="5">E14+G14</f>
        <v>200</v>
      </c>
      <c r="F23" s="8">
        <f t="shared" ref="F23:F27" si="6">O14</f>
        <v>0.28959481361426254</v>
      </c>
      <c r="G23" s="8">
        <v>0</v>
      </c>
      <c r="H23" s="8">
        <f t="shared" ref="H23:H27" si="7">F23+G23</f>
        <v>0.28959481361426254</v>
      </c>
      <c r="J23" s="28">
        <f>-399.41+296.18-0.27-53.62</f>
        <v>-157.12</v>
      </c>
      <c r="K23" s="27"/>
      <c r="L23" s="17"/>
      <c r="M23" s="8">
        <f t="shared" ref="M23:M27" si="8">E23*$J$24</f>
        <v>-0.89557683538531696</v>
      </c>
      <c r="O23" s="8">
        <f t="shared" ref="O23:O27" si="9">H23+M23</f>
        <v>-0.60598202177105442</v>
      </c>
    </row>
    <row r="24" spans="2:15" x14ac:dyDescent="0.3">
      <c r="D24" s="8" t="s">
        <v>17</v>
      </c>
      <c r="E24" s="8">
        <f t="shared" si="5"/>
        <v>100</v>
      </c>
      <c r="F24" s="8">
        <f t="shared" si="6"/>
        <v>0.14479740680713127</v>
      </c>
      <c r="G24" s="8">
        <v>0</v>
      </c>
      <c r="H24" s="8">
        <f t="shared" si="7"/>
        <v>0.14479740680713127</v>
      </c>
      <c r="J24" s="32">
        <f>J23/E28</f>
        <v>-4.477884176926585E-3</v>
      </c>
      <c r="L24" s="17"/>
      <c r="M24" s="8">
        <f t="shared" si="8"/>
        <v>-0.44778841769265848</v>
      </c>
      <c r="O24" s="8">
        <f t="shared" si="9"/>
        <v>-0.30299101088552721</v>
      </c>
    </row>
    <row r="25" spans="2:15" x14ac:dyDescent="0.3">
      <c r="D25" s="8" t="s">
        <v>18</v>
      </c>
      <c r="E25" s="8">
        <f t="shared" si="5"/>
        <v>29888</v>
      </c>
      <c r="F25" s="8">
        <f t="shared" si="6"/>
        <v>1928.5432739059968</v>
      </c>
      <c r="G25" s="137">
        <v>350</v>
      </c>
      <c r="H25" s="8">
        <f t="shared" si="7"/>
        <v>2278.543273905997</v>
      </c>
      <c r="M25" s="8">
        <f t="shared" si="8"/>
        <v>-133.83500227998178</v>
      </c>
      <c r="O25" s="8">
        <f t="shared" si="9"/>
        <v>2144.7082716260152</v>
      </c>
    </row>
    <row r="26" spans="2:15" x14ac:dyDescent="0.3">
      <c r="D26" s="8" t="s">
        <v>19</v>
      </c>
      <c r="E26" s="8">
        <f t="shared" si="5"/>
        <v>1800</v>
      </c>
      <c r="F26" s="8">
        <f t="shared" si="6"/>
        <v>2.606353322528363</v>
      </c>
      <c r="G26" s="8">
        <v>0</v>
      </c>
      <c r="H26" s="8">
        <f t="shared" si="7"/>
        <v>2.606353322528363</v>
      </c>
      <c r="M26" s="8">
        <f t="shared" si="8"/>
        <v>-8.0601915184678532</v>
      </c>
      <c r="O26" s="8">
        <f t="shared" si="9"/>
        <v>-5.4538381959394897</v>
      </c>
    </row>
    <row r="27" spans="2:15" x14ac:dyDescent="0.3">
      <c r="D27" s="8" t="s">
        <v>43</v>
      </c>
      <c r="E27" s="8">
        <f t="shared" si="5"/>
        <v>2350</v>
      </c>
      <c r="F27" s="8">
        <f t="shared" si="6"/>
        <v>2350</v>
      </c>
      <c r="G27" s="137">
        <f>900+5000</f>
        <v>5900</v>
      </c>
      <c r="H27" s="8">
        <f t="shared" si="7"/>
        <v>8250</v>
      </c>
      <c r="M27" s="8">
        <f t="shared" si="8"/>
        <v>-10.523027815777475</v>
      </c>
      <c r="O27" s="8">
        <f t="shared" si="9"/>
        <v>8239.4769721842222</v>
      </c>
    </row>
    <row r="28" spans="2:15" x14ac:dyDescent="0.3">
      <c r="E28" s="13">
        <f>SUM(E22:E27)</f>
        <v>35088</v>
      </c>
      <c r="F28" s="13">
        <f>SUM(F22:F27)</f>
        <v>4282.67</v>
      </c>
      <c r="G28" s="13">
        <f>SUM(G22:G27)</f>
        <v>6250</v>
      </c>
      <c r="H28" s="13">
        <f>SUM(H22:H27)</f>
        <v>10532.67</v>
      </c>
      <c r="M28" s="13">
        <f>SUM(M22:M27)</f>
        <v>-157.12000000000003</v>
      </c>
      <c r="O28" s="13">
        <f>SUM(O22:O27)</f>
        <v>10375.549999999999</v>
      </c>
    </row>
    <row r="30" spans="2:15" x14ac:dyDescent="0.3">
      <c r="B30" s="135" t="s">
        <v>130</v>
      </c>
      <c r="C30" s="9" t="s">
        <v>0</v>
      </c>
      <c r="D30" s="9" t="s">
        <v>12</v>
      </c>
      <c r="E30" s="9" t="s">
        <v>58</v>
      </c>
      <c r="F30" s="9" t="s">
        <v>3</v>
      </c>
      <c r="G30" s="9" t="s">
        <v>76</v>
      </c>
      <c r="H30" s="9" t="s">
        <v>1</v>
      </c>
      <c r="I30" s="27"/>
      <c r="J30" s="9" t="s">
        <v>2</v>
      </c>
      <c r="K30" s="9" t="s">
        <v>13</v>
      </c>
      <c r="L30" s="9" t="s">
        <v>14</v>
      </c>
      <c r="M30" s="9" t="s">
        <v>8</v>
      </c>
      <c r="N30" s="27"/>
      <c r="O30" s="9" t="s">
        <v>3</v>
      </c>
    </row>
    <row r="31" spans="2:15" x14ac:dyDescent="0.3">
      <c r="B31" s="136">
        <v>2025</v>
      </c>
      <c r="C31" s="8" t="s">
        <v>61</v>
      </c>
      <c r="D31" s="8" t="s">
        <v>15</v>
      </c>
      <c r="E31" s="8">
        <f>E22+G22</f>
        <v>750</v>
      </c>
      <c r="F31" s="8">
        <f>O22</f>
        <v>-2.2724325816414543</v>
      </c>
      <c r="G31" s="8">
        <v>0</v>
      </c>
      <c r="H31" s="8">
        <f>F31+G31</f>
        <v>-2.2724325816414543</v>
      </c>
      <c r="J31" s="26" t="s">
        <v>56</v>
      </c>
      <c r="K31" s="27"/>
      <c r="L31" s="17"/>
      <c r="M31" s="8">
        <f>E31*$J$33</f>
        <v>1.344522853813285</v>
      </c>
      <c r="O31" s="8">
        <f>H31+M31</f>
        <v>-0.92790972782816938</v>
      </c>
    </row>
    <row r="32" spans="2:15" x14ac:dyDescent="0.3">
      <c r="D32" s="8" t="s">
        <v>16</v>
      </c>
      <c r="E32" s="8">
        <f t="shared" ref="E32:E35" si="10">E23+G23</f>
        <v>200</v>
      </c>
      <c r="F32" s="8">
        <f t="shared" ref="F32:F35" si="11">O23</f>
        <v>-0.60598202177105442</v>
      </c>
      <c r="G32" s="8">
        <v>0</v>
      </c>
      <c r="H32" s="8">
        <f t="shared" ref="H32:H37" si="12">F32+G32</f>
        <v>-0.60598202177105442</v>
      </c>
      <c r="J32" s="26">
        <v>83.07</v>
      </c>
      <c r="K32" s="27"/>
      <c r="L32" s="17"/>
      <c r="M32" s="8">
        <f t="shared" ref="M32:M37" si="13">E32*$J$33</f>
        <v>0.35853942768354263</v>
      </c>
      <c r="O32" s="8">
        <f t="shared" ref="O32:O37" si="14">H32+M32</f>
        <v>-0.24744259408751179</v>
      </c>
    </row>
    <row r="33" spans="2:15" x14ac:dyDescent="0.3">
      <c r="D33" s="8" t="s">
        <v>17</v>
      </c>
      <c r="E33" s="8">
        <f t="shared" si="10"/>
        <v>100</v>
      </c>
      <c r="F33" s="8">
        <f t="shared" si="11"/>
        <v>-0.30299101088552721</v>
      </c>
      <c r="G33" s="8">
        <v>0</v>
      </c>
      <c r="H33" s="8">
        <f t="shared" si="12"/>
        <v>-0.30299101088552721</v>
      </c>
      <c r="J33" s="31">
        <f>J32/E38</f>
        <v>1.7926971384177133E-3</v>
      </c>
      <c r="L33" s="17"/>
      <c r="M33" s="8">
        <f t="shared" si="13"/>
        <v>0.17926971384177132</v>
      </c>
      <c r="O33" s="8">
        <f t="shared" si="14"/>
        <v>-0.1237212970437559</v>
      </c>
    </row>
    <row r="34" spans="2:15" x14ac:dyDescent="0.3">
      <c r="D34" s="8" t="s">
        <v>18</v>
      </c>
      <c r="E34" s="8">
        <f>E25+G25</f>
        <v>30238</v>
      </c>
      <c r="F34" s="8">
        <f t="shared" si="11"/>
        <v>2144.7082716260152</v>
      </c>
      <c r="G34" s="8">
        <v>0</v>
      </c>
      <c r="H34" s="8">
        <f t="shared" si="12"/>
        <v>2144.7082716260152</v>
      </c>
      <c r="M34" s="8">
        <f t="shared" si="13"/>
        <v>54.207576071474811</v>
      </c>
      <c r="O34" s="8">
        <f t="shared" si="14"/>
        <v>2198.9158476974899</v>
      </c>
    </row>
    <row r="35" spans="2:15" x14ac:dyDescent="0.3">
      <c r="D35" s="8" t="s">
        <v>19</v>
      </c>
      <c r="E35" s="8">
        <f t="shared" si="10"/>
        <v>1800</v>
      </c>
      <c r="F35" s="8">
        <f t="shared" si="11"/>
        <v>-5.4538381959394897</v>
      </c>
      <c r="G35" s="8">
        <v>0</v>
      </c>
      <c r="H35" s="8">
        <f t="shared" si="12"/>
        <v>-5.4538381959394897</v>
      </c>
      <c r="M35" s="8">
        <f t="shared" si="13"/>
        <v>3.2268548491518838</v>
      </c>
      <c r="O35" s="8">
        <f t="shared" si="14"/>
        <v>-2.2269833467876059</v>
      </c>
    </row>
    <row r="36" spans="2:15" x14ac:dyDescent="0.3">
      <c r="D36" s="8" t="s">
        <v>82</v>
      </c>
      <c r="E36" s="8">
        <v>5000</v>
      </c>
      <c r="F36" s="8">
        <v>0</v>
      </c>
      <c r="G36" s="8">
        <v>0</v>
      </c>
      <c r="H36" s="8">
        <v>5000</v>
      </c>
      <c r="M36" s="8">
        <f t="shared" si="13"/>
        <v>8.9634856920885664</v>
      </c>
      <c r="O36" s="8">
        <f t="shared" si="14"/>
        <v>5008.9634856920884</v>
      </c>
    </row>
    <row r="37" spans="2:15" x14ac:dyDescent="0.3">
      <c r="D37" s="8" t="s">
        <v>43</v>
      </c>
      <c r="E37" s="8">
        <f>E27+G27</f>
        <v>8250</v>
      </c>
      <c r="F37" s="8">
        <f>O27</f>
        <v>8239.4769721842222</v>
      </c>
      <c r="G37" s="137">
        <v>-2000</v>
      </c>
      <c r="H37" s="8">
        <f t="shared" si="12"/>
        <v>6239.4769721842222</v>
      </c>
      <c r="M37" s="8">
        <f t="shared" si="13"/>
        <v>14.789751391946135</v>
      </c>
      <c r="O37" s="8">
        <f t="shared" si="14"/>
        <v>6254.2667235761683</v>
      </c>
    </row>
    <row r="38" spans="2:15" x14ac:dyDescent="0.3">
      <c r="E38" s="13">
        <f>SUM(E31:E37)</f>
        <v>46338</v>
      </c>
      <c r="F38" s="13">
        <f>SUM(F31:F37)</f>
        <v>10375.549999999999</v>
      </c>
      <c r="G38" s="13">
        <f>SUM(G31:G37)</f>
        <v>-2000</v>
      </c>
      <c r="H38" s="13">
        <f>SUM(H31:H37)</f>
        <v>13375.55</v>
      </c>
      <c r="M38" s="13">
        <f>SUM(M31:M37)</f>
        <v>83.07</v>
      </c>
      <c r="O38" s="13">
        <f>SUM(O31:O37)</f>
        <v>13458.619999999999</v>
      </c>
    </row>
    <row r="40" spans="2:15" x14ac:dyDescent="0.3">
      <c r="B40" s="135" t="s">
        <v>130</v>
      </c>
      <c r="C40" s="9" t="s">
        <v>0</v>
      </c>
      <c r="D40" s="9" t="s">
        <v>12</v>
      </c>
      <c r="E40" s="9" t="s">
        <v>58</v>
      </c>
      <c r="F40" s="9" t="s">
        <v>3</v>
      </c>
      <c r="G40" s="9" t="s">
        <v>76</v>
      </c>
      <c r="H40" s="9" t="s">
        <v>1</v>
      </c>
      <c r="I40" s="27"/>
      <c r="J40" s="9" t="s">
        <v>2</v>
      </c>
      <c r="K40" s="9" t="s">
        <v>13</v>
      </c>
      <c r="L40" s="9" t="s">
        <v>14</v>
      </c>
      <c r="M40" s="9" t="s">
        <v>8</v>
      </c>
      <c r="N40" s="27"/>
      <c r="O40" s="9" t="s">
        <v>3</v>
      </c>
    </row>
    <row r="41" spans="2:15" x14ac:dyDescent="0.3">
      <c r="B41" s="136">
        <v>2025</v>
      </c>
      <c r="C41" s="8" t="s">
        <v>90</v>
      </c>
      <c r="D41" s="8" t="s">
        <v>15</v>
      </c>
      <c r="E41" s="8">
        <f t="shared" ref="E41:E47" si="15">E31+G31</f>
        <v>750</v>
      </c>
      <c r="F41" s="8">
        <v>-0.92790972782816938</v>
      </c>
      <c r="G41" s="8">
        <v>0</v>
      </c>
      <c r="H41" s="8">
        <f>F41+G41</f>
        <v>-0.92790972782816938</v>
      </c>
      <c r="J41" s="26" t="s">
        <v>56</v>
      </c>
      <c r="K41" s="27"/>
      <c r="L41" s="17"/>
      <c r="M41" s="8">
        <f>E41*$J$43</f>
        <v>2.407584915873517</v>
      </c>
      <c r="O41" s="8">
        <f>H41+M41</f>
        <v>1.4796751880453476</v>
      </c>
    </row>
    <row r="42" spans="2:15" x14ac:dyDescent="0.3">
      <c r="D42" s="8" t="s">
        <v>16</v>
      </c>
      <c r="E42" s="8">
        <f t="shared" si="15"/>
        <v>200</v>
      </c>
      <c r="F42" s="8">
        <v>-0.24744259408751179</v>
      </c>
      <c r="G42" s="8">
        <v>0</v>
      </c>
      <c r="H42" s="8">
        <f t="shared" ref="H42:H47" si="16">F42+G42</f>
        <v>-0.24744259408751179</v>
      </c>
      <c r="J42" s="26">
        <v>142.33000000000001</v>
      </c>
      <c r="K42" s="27"/>
      <c r="L42" s="17"/>
      <c r="M42" s="8">
        <f t="shared" ref="M42:M47" si="17">E42*$J$43</f>
        <v>0.64202264423293787</v>
      </c>
      <c r="O42" s="8">
        <f t="shared" ref="O42:O47" si="18">H42+M42</f>
        <v>0.39458005014542608</v>
      </c>
    </row>
    <row r="43" spans="2:15" x14ac:dyDescent="0.3">
      <c r="D43" s="8" t="s">
        <v>17</v>
      </c>
      <c r="E43" s="8">
        <f t="shared" si="15"/>
        <v>100</v>
      </c>
      <c r="F43" s="8">
        <v>-0.1237212970437559</v>
      </c>
      <c r="G43" s="8">
        <v>0</v>
      </c>
      <c r="H43" s="8">
        <f t="shared" si="16"/>
        <v>-0.1237212970437559</v>
      </c>
      <c r="J43" s="31">
        <f>J42/E48</f>
        <v>3.2101132211646895E-3</v>
      </c>
      <c r="L43" s="17"/>
      <c r="M43" s="8">
        <f t="shared" si="17"/>
        <v>0.32101132211646893</v>
      </c>
      <c r="O43" s="8">
        <f t="shared" si="18"/>
        <v>0.19729002507271304</v>
      </c>
    </row>
    <row r="44" spans="2:15" x14ac:dyDescent="0.3">
      <c r="D44" s="8" t="s">
        <v>18</v>
      </c>
      <c r="E44" s="8">
        <f t="shared" si="15"/>
        <v>30238</v>
      </c>
      <c r="F44" s="8">
        <v>2198.9158476974899</v>
      </c>
      <c r="G44" s="8">
        <v>0</v>
      </c>
      <c r="H44" s="8">
        <f t="shared" si="16"/>
        <v>2198.9158476974899</v>
      </c>
      <c r="M44" s="8">
        <f t="shared" si="17"/>
        <v>97.067403581577878</v>
      </c>
      <c r="O44" s="8">
        <f t="shared" si="18"/>
        <v>2295.9832512790676</v>
      </c>
    </row>
    <row r="45" spans="2:15" x14ac:dyDescent="0.3">
      <c r="D45" s="8" t="s">
        <v>19</v>
      </c>
      <c r="E45" s="8">
        <f t="shared" si="15"/>
        <v>1800</v>
      </c>
      <c r="F45" s="8">
        <v>-2.2269833467876059</v>
      </c>
      <c r="G45" s="8">
        <v>0</v>
      </c>
      <c r="H45" s="8">
        <f t="shared" si="16"/>
        <v>-2.2269833467876059</v>
      </c>
      <c r="M45" s="8">
        <f t="shared" si="17"/>
        <v>5.7782037980964409</v>
      </c>
      <c r="O45" s="8">
        <f t="shared" si="18"/>
        <v>3.551220451308835</v>
      </c>
    </row>
    <row r="46" spans="2:15" x14ac:dyDescent="0.3">
      <c r="D46" s="8" t="s">
        <v>82</v>
      </c>
      <c r="E46" s="8">
        <f t="shared" si="15"/>
        <v>5000</v>
      </c>
      <c r="F46" s="8">
        <v>5008.9634856920884</v>
      </c>
      <c r="G46" s="8">
        <v>0</v>
      </c>
      <c r="H46" s="8">
        <f t="shared" si="16"/>
        <v>5008.9634856920884</v>
      </c>
      <c r="M46" s="8">
        <f t="shared" si="17"/>
        <v>16.050566105823449</v>
      </c>
      <c r="O46" s="8">
        <f t="shared" si="18"/>
        <v>5025.0140517979116</v>
      </c>
    </row>
    <row r="47" spans="2:15" x14ac:dyDescent="0.3">
      <c r="D47" s="8" t="s">
        <v>43</v>
      </c>
      <c r="E47" s="8">
        <f t="shared" si="15"/>
        <v>6250</v>
      </c>
      <c r="F47" s="8">
        <v>6254.2667235761683</v>
      </c>
      <c r="G47" s="8">
        <v>0</v>
      </c>
      <c r="H47" s="8">
        <f t="shared" si="16"/>
        <v>6254.2667235761683</v>
      </c>
      <c r="M47" s="8">
        <f t="shared" si="17"/>
        <v>20.063207632279308</v>
      </c>
      <c r="O47" s="8">
        <f t="shared" si="18"/>
        <v>6274.3299312084473</v>
      </c>
    </row>
    <row r="48" spans="2:15" x14ac:dyDescent="0.3">
      <c r="E48" s="13">
        <f>SUM(E41:E47)</f>
        <v>44338</v>
      </c>
      <c r="F48" s="13">
        <f>SUM(F41:F47)</f>
        <v>13458.619999999999</v>
      </c>
      <c r="G48" s="13">
        <f>SUM(G41:G47)</f>
        <v>0</v>
      </c>
      <c r="H48" s="13">
        <f>SUM(H41:H47)</f>
        <v>13458.619999999999</v>
      </c>
      <c r="M48" s="13">
        <f>SUM(M41:M47)</f>
        <v>142.33000000000001</v>
      </c>
      <c r="O48" s="13">
        <f>SUM(O41:O47)</f>
        <v>13600.949999999999</v>
      </c>
    </row>
    <row r="50" spans="2:15" x14ac:dyDescent="0.3">
      <c r="B50" s="135" t="s">
        <v>130</v>
      </c>
      <c r="C50" s="9" t="s">
        <v>0</v>
      </c>
      <c r="D50" s="9" t="s">
        <v>12</v>
      </c>
      <c r="E50" s="9" t="s">
        <v>58</v>
      </c>
      <c r="F50" s="9" t="s">
        <v>3</v>
      </c>
      <c r="G50" s="9" t="s">
        <v>76</v>
      </c>
      <c r="H50" s="9" t="s">
        <v>1</v>
      </c>
      <c r="I50" s="27"/>
      <c r="J50" s="9" t="s">
        <v>2</v>
      </c>
      <c r="K50" s="9" t="s">
        <v>13</v>
      </c>
      <c r="L50" s="9" t="s">
        <v>14</v>
      </c>
      <c r="M50" s="9" t="s">
        <v>8</v>
      </c>
      <c r="N50" s="27"/>
      <c r="O50" s="9" t="s">
        <v>3</v>
      </c>
    </row>
    <row r="51" spans="2:15" x14ac:dyDescent="0.3">
      <c r="B51" s="136">
        <v>2025</v>
      </c>
      <c r="C51" s="8" t="s">
        <v>92</v>
      </c>
      <c r="D51" s="8" t="s">
        <v>15</v>
      </c>
      <c r="E51" s="8">
        <f t="shared" ref="E51:E57" si="19">E41+G41</f>
        <v>750</v>
      </c>
      <c r="F51" s="8">
        <v>1.4796751880453476</v>
      </c>
      <c r="G51" s="8">
        <v>0</v>
      </c>
      <c r="H51" s="8">
        <f>F51+G51</f>
        <v>1.4796751880453476</v>
      </c>
      <c r="J51" s="340" t="s">
        <v>99</v>
      </c>
      <c r="K51" s="27"/>
      <c r="L51" s="17"/>
      <c r="O51" s="8">
        <f>H51+M51</f>
        <v>1.4796751880453476</v>
      </c>
    </row>
    <row r="52" spans="2:15" x14ac:dyDescent="0.3">
      <c r="D52" s="8" t="s">
        <v>16</v>
      </c>
      <c r="E52" s="8">
        <f t="shared" si="19"/>
        <v>200</v>
      </c>
      <c r="F52" s="8">
        <v>0.39458005014542608</v>
      </c>
      <c r="G52" s="8">
        <v>0</v>
      </c>
      <c r="H52" s="8">
        <f t="shared" ref="H52:H57" si="20">F52+G52</f>
        <v>0.39458005014542608</v>
      </c>
      <c r="J52" s="341"/>
      <c r="K52" s="27"/>
      <c r="L52" s="17"/>
      <c r="O52" s="8">
        <f t="shared" ref="O52:O57" si="21">H52+M52</f>
        <v>0.39458005014542608</v>
      </c>
    </row>
    <row r="53" spans="2:15" x14ac:dyDescent="0.3">
      <c r="D53" s="8" t="s">
        <v>17</v>
      </c>
      <c r="E53" s="8">
        <f t="shared" si="19"/>
        <v>100</v>
      </c>
      <c r="F53" s="8">
        <v>0.19729002507271304</v>
      </c>
      <c r="G53" s="8">
        <v>0</v>
      </c>
      <c r="H53" s="8">
        <f t="shared" si="20"/>
        <v>0.19729002507271304</v>
      </c>
      <c r="J53" s="341"/>
      <c r="L53" s="17"/>
      <c r="O53" s="8">
        <f t="shared" si="21"/>
        <v>0.19729002507271304</v>
      </c>
    </row>
    <row r="54" spans="2:15" x14ac:dyDescent="0.3">
      <c r="D54" s="8" t="s">
        <v>18</v>
      </c>
      <c r="E54" s="8">
        <f t="shared" si="19"/>
        <v>30238</v>
      </c>
      <c r="F54" s="8">
        <v>2295.9832512790676</v>
      </c>
      <c r="G54" s="137">
        <v>1000</v>
      </c>
      <c r="H54" s="8">
        <f t="shared" si="20"/>
        <v>3295.9832512790676</v>
      </c>
      <c r="O54" s="8">
        <f t="shared" si="21"/>
        <v>3295.9832512790676</v>
      </c>
    </row>
    <row r="55" spans="2:15" x14ac:dyDescent="0.3">
      <c r="D55" s="8" t="s">
        <v>19</v>
      </c>
      <c r="E55" s="8">
        <f t="shared" si="19"/>
        <v>1800</v>
      </c>
      <c r="F55" s="8">
        <v>3.551220451308835</v>
      </c>
      <c r="G55" s="8">
        <v>0</v>
      </c>
      <c r="H55" s="8">
        <f t="shared" si="20"/>
        <v>3.551220451308835</v>
      </c>
      <c r="O55" s="8">
        <f t="shared" si="21"/>
        <v>3.551220451308835</v>
      </c>
    </row>
    <row r="56" spans="2:15" x14ac:dyDescent="0.3">
      <c r="D56" s="8" t="s">
        <v>82</v>
      </c>
      <c r="E56" s="8">
        <f t="shared" si="19"/>
        <v>5000</v>
      </c>
      <c r="F56" s="8">
        <v>5025.0140517979116</v>
      </c>
      <c r="G56" s="8">
        <v>0</v>
      </c>
      <c r="H56" s="8">
        <f t="shared" si="20"/>
        <v>5025.0140517979116</v>
      </c>
      <c r="O56" s="8">
        <f t="shared" si="21"/>
        <v>5025.0140517979116</v>
      </c>
    </row>
    <row r="57" spans="2:15" x14ac:dyDescent="0.3">
      <c r="D57" s="8" t="s">
        <v>43</v>
      </c>
      <c r="E57" s="8">
        <f t="shared" si="19"/>
        <v>6250</v>
      </c>
      <c r="F57" s="8">
        <v>6274.3299312084473</v>
      </c>
      <c r="G57" s="8">
        <v>0</v>
      </c>
      <c r="H57" s="8">
        <f t="shared" si="20"/>
        <v>6274.3299312084473</v>
      </c>
      <c r="O57" s="8">
        <f t="shared" si="21"/>
        <v>6274.3299312084473</v>
      </c>
    </row>
    <row r="58" spans="2:15" x14ac:dyDescent="0.3">
      <c r="E58" s="13">
        <f>SUM(E51:E57)</f>
        <v>44338</v>
      </c>
      <c r="F58" s="13">
        <f>SUM(F51:F57)</f>
        <v>13600.949999999999</v>
      </c>
      <c r="G58" s="13">
        <f>SUM(G51:G57)</f>
        <v>1000</v>
      </c>
      <c r="H58" s="13">
        <f>SUM(H51:H57)</f>
        <v>14600.949999999999</v>
      </c>
      <c r="M58" s="13">
        <f>SUM(M51:M57)</f>
        <v>0</v>
      </c>
      <c r="O58" s="13">
        <f>SUM(O51:O57)</f>
        <v>14600.949999999999</v>
      </c>
    </row>
    <row r="60" spans="2:15" x14ac:dyDescent="0.3">
      <c r="B60" s="135" t="s">
        <v>130</v>
      </c>
      <c r="C60" s="9" t="s">
        <v>0</v>
      </c>
      <c r="D60" s="9" t="s">
        <v>12</v>
      </c>
      <c r="E60" s="9" t="s">
        <v>58</v>
      </c>
      <c r="F60" s="9" t="s">
        <v>3</v>
      </c>
      <c r="G60" s="9" t="s">
        <v>76</v>
      </c>
      <c r="H60" s="9" t="s">
        <v>1</v>
      </c>
      <c r="I60" s="27"/>
      <c r="J60" s="9" t="s">
        <v>2</v>
      </c>
      <c r="K60" s="9" t="s">
        <v>13</v>
      </c>
      <c r="L60" s="9" t="s">
        <v>14</v>
      </c>
      <c r="M60" s="9" t="s">
        <v>8</v>
      </c>
      <c r="N60" s="27"/>
      <c r="O60" s="9" t="s">
        <v>3</v>
      </c>
    </row>
    <row r="61" spans="2:15" x14ac:dyDescent="0.3">
      <c r="B61" s="136">
        <v>2025</v>
      </c>
      <c r="C61" s="8" t="s">
        <v>101</v>
      </c>
      <c r="D61" s="8" t="s">
        <v>15</v>
      </c>
      <c r="E61" s="8">
        <f t="shared" ref="E61:E67" si="22">E51+G51</f>
        <v>750</v>
      </c>
      <c r="F61" s="8">
        <v>1.4796751880453476</v>
      </c>
      <c r="G61" s="8">
        <v>0</v>
      </c>
      <c r="H61" s="8">
        <f>F61+G61</f>
        <v>1.4796751880453476</v>
      </c>
      <c r="J61" s="26" t="s">
        <v>56</v>
      </c>
      <c r="K61" s="27"/>
      <c r="L61" s="17"/>
      <c r="M61" s="8">
        <f t="shared" ref="M61:M67" si="23">E61*$J$63</f>
        <v>5.458996867969474</v>
      </c>
      <c r="O61" s="8">
        <f>H61+M61</f>
        <v>6.9386720560148216</v>
      </c>
    </row>
    <row r="62" spans="2:15" x14ac:dyDescent="0.3">
      <c r="D62" s="8" t="s">
        <v>16</v>
      </c>
      <c r="E62" s="8">
        <f t="shared" si="22"/>
        <v>200</v>
      </c>
      <c r="F62" s="8">
        <v>0.39458005014542608</v>
      </c>
      <c r="G62" s="8">
        <v>0</v>
      </c>
      <c r="H62" s="8">
        <f t="shared" ref="H62:H67" si="24">F62+G62</f>
        <v>0.39458005014542608</v>
      </c>
      <c r="J62" s="26">
        <v>330</v>
      </c>
      <c r="K62" s="27"/>
      <c r="L62" s="17"/>
      <c r="M62" s="8">
        <f t="shared" si="23"/>
        <v>1.4557324981251931</v>
      </c>
      <c r="O62" s="8">
        <f t="shared" ref="O62:O67" si="25">H62+M62</f>
        <v>1.8503125482706193</v>
      </c>
    </row>
    <row r="63" spans="2:15" x14ac:dyDescent="0.3">
      <c r="D63" s="8" t="s">
        <v>17</v>
      </c>
      <c r="E63" s="8">
        <f t="shared" si="22"/>
        <v>100</v>
      </c>
      <c r="F63" s="8">
        <v>0.19729002507271304</v>
      </c>
      <c r="G63" s="8">
        <v>0</v>
      </c>
      <c r="H63" s="8">
        <f t="shared" si="24"/>
        <v>0.19729002507271304</v>
      </c>
      <c r="J63" s="31">
        <f>J62/E68</f>
        <v>7.2786624906259652E-3</v>
      </c>
      <c r="L63" s="17"/>
      <c r="M63" s="8">
        <f t="shared" si="23"/>
        <v>0.72786624906259656</v>
      </c>
      <c r="O63" s="8">
        <f t="shared" si="25"/>
        <v>0.92515627413530965</v>
      </c>
    </row>
    <row r="64" spans="2:15" x14ac:dyDescent="0.3">
      <c r="D64" s="8" t="s">
        <v>18</v>
      </c>
      <c r="E64" s="8">
        <f t="shared" si="22"/>
        <v>31238</v>
      </c>
      <c r="F64" s="8">
        <v>3295.9832512790676</v>
      </c>
      <c r="G64" s="137">
        <v>3000</v>
      </c>
      <c r="H64" s="8">
        <f t="shared" si="24"/>
        <v>6295.9832512790672</v>
      </c>
      <c r="M64" s="8">
        <f t="shared" si="23"/>
        <v>227.37085888217391</v>
      </c>
      <c r="O64" s="8">
        <f t="shared" si="25"/>
        <v>6523.3541101612409</v>
      </c>
    </row>
    <row r="65" spans="2:15" x14ac:dyDescent="0.3">
      <c r="D65" s="8" t="s">
        <v>19</v>
      </c>
      <c r="E65" s="8">
        <f t="shared" si="22"/>
        <v>1800</v>
      </c>
      <c r="F65" s="8">
        <v>3.551220451308835</v>
      </c>
      <c r="G65" s="8">
        <v>0</v>
      </c>
      <c r="H65" s="8">
        <f t="shared" si="24"/>
        <v>3.551220451308835</v>
      </c>
      <c r="M65" s="8">
        <f t="shared" si="23"/>
        <v>13.101592483126737</v>
      </c>
      <c r="O65" s="8">
        <f t="shared" si="25"/>
        <v>16.652812934435573</v>
      </c>
    </row>
    <row r="66" spans="2:15" x14ac:dyDescent="0.3">
      <c r="D66" s="8" t="s">
        <v>82</v>
      </c>
      <c r="E66" s="8">
        <f t="shared" si="22"/>
        <v>5000</v>
      </c>
      <c r="F66" s="8">
        <v>5025.0140517979116</v>
      </c>
      <c r="G66" s="8">
        <v>0</v>
      </c>
      <c r="H66" s="8">
        <f t="shared" si="24"/>
        <v>5025.0140517979116</v>
      </c>
      <c r="M66" s="8">
        <f t="shared" si="23"/>
        <v>36.393312453129823</v>
      </c>
      <c r="O66" s="8">
        <f t="shared" si="25"/>
        <v>5061.4073642510411</v>
      </c>
    </row>
    <row r="67" spans="2:15" x14ac:dyDescent="0.3">
      <c r="D67" s="8" t="s">
        <v>43</v>
      </c>
      <c r="E67" s="8">
        <f t="shared" si="22"/>
        <v>6250</v>
      </c>
      <c r="F67" s="8">
        <v>6274.3299312084473</v>
      </c>
      <c r="G67" s="137">
        <v>-2000</v>
      </c>
      <c r="H67" s="8">
        <f t="shared" si="24"/>
        <v>4274.3299312084473</v>
      </c>
      <c r="M67" s="8">
        <f t="shared" si="23"/>
        <v>45.491640566412279</v>
      </c>
      <c r="O67" s="8">
        <f t="shared" si="25"/>
        <v>4319.8215717748599</v>
      </c>
    </row>
    <row r="68" spans="2:15" x14ac:dyDescent="0.3">
      <c r="E68" s="13">
        <f>SUM(E61:E67)</f>
        <v>45338</v>
      </c>
      <c r="F68" s="13">
        <f>SUM(F61:F67)</f>
        <v>14600.949999999999</v>
      </c>
      <c r="G68" s="13">
        <f>SUM(G61:G67)</f>
        <v>1000</v>
      </c>
      <c r="H68" s="13">
        <f>SUM(H61:H67)</f>
        <v>15600.949999999999</v>
      </c>
      <c r="M68" s="13">
        <f>SUM(M61:M67)</f>
        <v>330.00000000000006</v>
      </c>
      <c r="O68" s="13">
        <f>SUM(O61:O67)</f>
        <v>15930.949999999997</v>
      </c>
    </row>
    <row r="70" spans="2:15" x14ac:dyDescent="0.3">
      <c r="B70" s="135" t="s">
        <v>130</v>
      </c>
      <c r="C70" s="9" t="s">
        <v>0</v>
      </c>
      <c r="D70" s="9" t="s">
        <v>12</v>
      </c>
      <c r="E70" s="9" t="s">
        <v>58</v>
      </c>
      <c r="F70" s="9" t="s">
        <v>3</v>
      </c>
      <c r="G70" s="9" t="s">
        <v>76</v>
      </c>
      <c r="H70" s="9" t="s">
        <v>1</v>
      </c>
      <c r="I70" s="27"/>
      <c r="J70" s="9" t="s">
        <v>2</v>
      </c>
      <c r="K70" s="9" t="s">
        <v>13</v>
      </c>
      <c r="L70" s="9" t="s">
        <v>14</v>
      </c>
      <c r="M70" s="9" t="s">
        <v>8</v>
      </c>
      <c r="N70" s="27"/>
      <c r="O70" s="9" t="s">
        <v>3</v>
      </c>
    </row>
    <row r="71" spans="2:15" x14ac:dyDescent="0.3">
      <c r="B71" s="136">
        <v>2025</v>
      </c>
      <c r="C71" s="8" t="s">
        <v>102</v>
      </c>
      <c r="D71" s="8" t="s">
        <v>15</v>
      </c>
      <c r="E71" s="8">
        <f t="shared" ref="E71:E77" si="26">E61+G61</f>
        <v>750</v>
      </c>
      <c r="F71" s="8">
        <v>6.82086384530289</v>
      </c>
      <c r="G71" s="8">
        <v>0</v>
      </c>
      <c r="H71" s="8">
        <f>F71+G71</f>
        <v>6.82086384530289</v>
      </c>
      <c r="J71" s="340" t="s">
        <v>99</v>
      </c>
      <c r="K71" s="27"/>
      <c r="L71" s="17"/>
      <c r="O71" s="8">
        <f>H71+M71</f>
        <v>6.82086384530289</v>
      </c>
    </row>
    <row r="72" spans="2:15" x14ac:dyDescent="0.3">
      <c r="D72" s="8" t="s">
        <v>16</v>
      </c>
      <c r="E72" s="8">
        <f t="shared" si="26"/>
        <v>200</v>
      </c>
      <c r="F72" s="8">
        <v>1.8188970254141039</v>
      </c>
      <c r="G72" s="8">
        <v>0</v>
      </c>
      <c r="H72" s="8">
        <f t="shared" ref="H72:H77" si="27">F72+G72</f>
        <v>1.8188970254141039</v>
      </c>
      <c r="J72" s="341"/>
      <c r="K72" s="27"/>
      <c r="L72" s="17"/>
      <c r="O72" s="8">
        <f t="shared" ref="O72:O77" si="28">H72+M72</f>
        <v>1.8188970254141039</v>
      </c>
    </row>
    <row r="73" spans="2:15" x14ac:dyDescent="0.3">
      <c r="D73" s="8" t="s">
        <v>17</v>
      </c>
      <c r="E73" s="8">
        <f t="shared" si="26"/>
        <v>100</v>
      </c>
      <c r="F73" s="8">
        <v>0.90944851270705196</v>
      </c>
      <c r="G73" s="8">
        <v>0</v>
      </c>
      <c r="H73" s="8">
        <f t="shared" si="27"/>
        <v>0.90944851270705196</v>
      </c>
      <c r="J73" s="341"/>
      <c r="L73" s="17"/>
      <c r="O73" s="8">
        <f t="shared" si="28"/>
        <v>0.90944851270705196</v>
      </c>
    </row>
    <row r="74" spans="2:15" x14ac:dyDescent="0.3">
      <c r="D74" s="8" t="s">
        <v>18</v>
      </c>
      <c r="E74" s="8">
        <f t="shared" si="26"/>
        <v>34238</v>
      </c>
      <c r="F74" s="8">
        <v>6518.4473196462823</v>
      </c>
      <c r="G74" s="8">
        <v>0</v>
      </c>
      <c r="H74" s="8">
        <f t="shared" si="27"/>
        <v>6518.4473196462823</v>
      </c>
      <c r="O74" s="8">
        <f t="shared" si="28"/>
        <v>6518.4473196462823</v>
      </c>
    </row>
    <row r="75" spans="2:15" x14ac:dyDescent="0.3">
      <c r="D75" s="8" t="s">
        <v>19</v>
      </c>
      <c r="E75" s="8">
        <f t="shared" si="26"/>
        <v>1800</v>
      </c>
      <c r="F75" s="8">
        <v>16.370073228726937</v>
      </c>
      <c r="G75" s="8">
        <v>0</v>
      </c>
      <c r="H75" s="8">
        <f t="shared" si="27"/>
        <v>16.370073228726937</v>
      </c>
      <c r="O75" s="8">
        <f t="shared" si="28"/>
        <v>16.370073228726937</v>
      </c>
    </row>
    <row r="76" spans="2:15" x14ac:dyDescent="0.3">
      <c r="D76" s="8" t="s">
        <v>82</v>
      </c>
      <c r="E76" s="8">
        <f t="shared" si="26"/>
        <v>5000</v>
      </c>
      <c r="F76" s="8">
        <v>5060.6219761796283</v>
      </c>
      <c r="G76" s="8">
        <v>0</v>
      </c>
      <c r="H76" s="8">
        <f t="shared" si="27"/>
        <v>5060.6219761796283</v>
      </c>
      <c r="O76" s="8">
        <f t="shared" si="28"/>
        <v>5060.6219761796283</v>
      </c>
    </row>
    <row r="77" spans="2:15" x14ac:dyDescent="0.3">
      <c r="D77" s="8" t="s">
        <v>43</v>
      </c>
      <c r="E77" s="8">
        <f t="shared" si="26"/>
        <v>4250</v>
      </c>
      <c r="F77" s="8">
        <v>4318.8398366855936</v>
      </c>
      <c r="G77" s="137">
        <f>5100</f>
        <v>5100</v>
      </c>
      <c r="H77" s="8">
        <f t="shared" si="27"/>
        <v>9418.8398366855945</v>
      </c>
      <c r="O77" s="8">
        <f t="shared" si="28"/>
        <v>9418.8398366855945</v>
      </c>
    </row>
    <row r="78" spans="2:15" x14ac:dyDescent="0.3">
      <c r="E78" s="13">
        <f>SUM(E71:E77)</f>
        <v>46338</v>
      </c>
      <c r="F78" s="13">
        <f>SUM(F71:F77)</f>
        <v>15923.828415123655</v>
      </c>
      <c r="G78" s="13">
        <f>SUM(G71:G77)</f>
        <v>5100</v>
      </c>
      <c r="H78" s="13">
        <f>SUM(H71:H77)</f>
        <v>21023.828415123655</v>
      </c>
      <c r="M78" s="13">
        <f>SUM(M71:M77)</f>
        <v>0</v>
      </c>
      <c r="O78" s="13">
        <f>SUM(O71:O77)</f>
        <v>21023.828415123655</v>
      </c>
    </row>
    <row r="80" spans="2:15" x14ac:dyDescent="0.3">
      <c r="B80" s="135" t="s">
        <v>130</v>
      </c>
      <c r="C80" s="9" t="s">
        <v>0</v>
      </c>
      <c r="D80" s="9" t="s">
        <v>12</v>
      </c>
      <c r="E80" s="9" t="s">
        <v>58</v>
      </c>
      <c r="F80" s="9" t="s">
        <v>3</v>
      </c>
      <c r="G80" s="9" t="s">
        <v>76</v>
      </c>
      <c r="H80" s="9" t="s">
        <v>1</v>
      </c>
      <c r="I80" s="27"/>
      <c r="J80" s="9" t="s">
        <v>2</v>
      </c>
      <c r="K80" s="9" t="s">
        <v>13</v>
      </c>
      <c r="L80" s="9" t="s">
        <v>14</v>
      </c>
      <c r="M80" s="9" t="s">
        <v>8</v>
      </c>
      <c r="N80" s="27"/>
      <c r="O80" s="9" t="s">
        <v>3</v>
      </c>
    </row>
    <row r="81" spans="2:15" x14ac:dyDescent="0.3">
      <c r="B81" s="136">
        <v>2025</v>
      </c>
      <c r="C81" s="8" t="s">
        <v>109</v>
      </c>
      <c r="D81" s="8" t="s">
        <v>15</v>
      </c>
      <c r="E81" s="8">
        <f t="shared" ref="E81:E87" si="29">E71+G71</f>
        <v>750</v>
      </c>
      <c r="F81" s="8">
        <v>6.82086384530289</v>
      </c>
      <c r="G81" s="8">
        <v>0</v>
      </c>
      <c r="H81" s="8">
        <f>F81+G81</f>
        <v>6.82086384530289</v>
      </c>
      <c r="J81" s="26" t="s">
        <v>56</v>
      </c>
      <c r="K81" s="27"/>
      <c r="L81" s="17"/>
      <c r="M81" s="8">
        <f>E81*$J$83</f>
        <v>6.2863058439286137</v>
      </c>
      <c r="O81" s="8">
        <f>H81+M81</f>
        <v>13.107169689231505</v>
      </c>
    </row>
    <row r="82" spans="2:15" x14ac:dyDescent="0.3">
      <c r="D82" s="8" t="s">
        <v>16</v>
      </c>
      <c r="E82" s="8">
        <f t="shared" si="29"/>
        <v>200</v>
      </c>
      <c r="F82" s="8">
        <v>1.8188970254141039</v>
      </c>
      <c r="G82" s="8">
        <v>0</v>
      </c>
      <c r="H82" s="8">
        <f t="shared" ref="H82:H87" si="30">F82+G82</f>
        <v>1.8188970254141039</v>
      </c>
      <c r="J82" s="26">
        <v>431.14</v>
      </c>
      <c r="K82" s="27"/>
      <c r="L82" s="17"/>
      <c r="M82" s="8">
        <f t="shared" ref="M82:M87" si="31">E82*$J$83</f>
        <v>1.6763482250476303</v>
      </c>
      <c r="O82" s="8">
        <f t="shared" ref="O82:O87" si="32">H82+M82</f>
        <v>3.4952452504617342</v>
      </c>
    </row>
    <row r="83" spans="2:15" x14ac:dyDescent="0.3">
      <c r="D83" s="8" t="s">
        <v>17</v>
      </c>
      <c r="E83" s="8">
        <f t="shared" si="29"/>
        <v>100</v>
      </c>
      <c r="F83" s="8">
        <v>0.90944851270705196</v>
      </c>
      <c r="G83" s="8">
        <v>0</v>
      </c>
      <c r="H83" s="8">
        <f t="shared" si="30"/>
        <v>0.90944851270705196</v>
      </c>
      <c r="J83" s="31">
        <f>J82/E88</f>
        <v>8.3817411252381513E-3</v>
      </c>
      <c r="L83" s="17"/>
      <c r="M83" s="8">
        <f t="shared" si="31"/>
        <v>0.83817411252381513</v>
      </c>
      <c r="O83" s="8">
        <f t="shared" si="32"/>
        <v>1.7476226252308671</v>
      </c>
    </row>
    <row r="84" spans="2:15" x14ac:dyDescent="0.3">
      <c r="D84" s="8" t="s">
        <v>18</v>
      </c>
      <c r="E84" s="8">
        <f t="shared" si="29"/>
        <v>34238</v>
      </c>
      <c r="F84" s="8">
        <v>6518.4473196462823</v>
      </c>
      <c r="G84" s="8">
        <v>0</v>
      </c>
      <c r="H84" s="8">
        <f t="shared" si="30"/>
        <v>6518.4473196462823</v>
      </c>
      <c r="M84" s="8">
        <f t="shared" si="31"/>
        <v>286.97405264590384</v>
      </c>
      <c r="O84" s="8">
        <f t="shared" si="32"/>
        <v>6805.4213722921859</v>
      </c>
    </row>
    <row r="85" spans="2:15" x14ac:dyDescent="0.3">
      <c r="D85" s="8" t="s">
        <v>19</v>
      </c>
      <c r="E85" s="8">
        <f t="shared" si="29"/>
        <v>1800</v>
      </c>
      <c r="F85" s="8">
        <v>16.370073228726937</v>
      </c>
      <c r="G85" s="8">
        <v>0</v>
      </c>
      <c r="H85" s="8">
        <f t="shared" si="30"/>
        <v>16.370073228726937</v>
      </c>
      <c r="M85" s="8">
        <f t="shared" si="31"/>
        <v>15.087134025428671</v>
      </c>
      <c r="O85" s="8">
        <f t="shared" si="32"/>
        <v>31.457207254155609</v>
      </c>
    </row>
    <row r="86" spans="2:15" x14ac:dyDescent="0.3">
      <c r="D86" s="8" t="s">
        <v>82</v>
      </c>
      <c r="E86" s="8">
        <f t="shared" si="29"/>
        <v>5000</v>
      </c>
      <c r="F86" s="8">
        <v>5060.6219761796283</v>
      </c>
      <c r="G86" s="137">
        <v>10000</v>
      </c>
      <c r="H86" s="8">
        <f t="shared" si="30"/>
        <v>15060.621976179627</v>
      </c>
      <c r="M86" s="8">
        <f t="shared" si="31"/>
        <v>41.908705626190759</v>
      </c>
      <c r="O86" s="8">
        <f t="shared" si="32"/>
        <v>15102.530681805818</v>
      </c>
    </row>
    <row r="87" spans="2:15" x14ac:dyDescent="0.3">
      <c r="D87" s="8" t="s">
        <v>43</v>
      </c>
      <c r="E87" s="8">
        <f t="shared" si="29"/>
        <v>9350</v>
      </c>
      <c r="F87" s="8">
        <v>9418.8398366855945</v>
      </c>
      <c r="G87" s="137">
        <f>200</f>
        <v>200</v>
      </c>
      <c r="H87" s="8">
        <f t="shared" si="30"/>
        <v>9618.8398366855945</v>
      </c>
      <c r="M87" s="8">
        <f t="shared" si="31"/>
        <v>78.369279520976718</v>
      </c>
      <c r="O87" s="8">
        <f t="shared" si="32"/>
        <v>9697.2091162065717</v>
      </c>
    </row>
    <row r="88" spans="2:15" x14ac:dyDescent="0.3">
      <c r="E88" s="13">
        <f>SUM(E81:E87)</f>
        <v>51438</v>
      </c>
      <c r="F88" s="13">
        <f>SUM(F81:F87)</f>
        <v>21023.828415123655</v>
      </c>
      <c r="G88" s="13">
        <f>SUM(G81:G87)</f>
        <v>10200</v>
      </c>
      <c r="H88" s="13">
        <f>SUM(H81:H87)</f>
        <v>31223.828415123655</v>
      </c>
      <c r="M88" s="13">
        <f>SUM(M81:M87)</f>
        <v>431.14</v>
      </c>
      <c r="O88" s="13">
        <f>SUM(O81:O87)</f>
        <v>31654.968415123658</v>
      </c>
    </row>
    <row r="90" spans="2:15" x14ac:dyDescent="0.3">
      <c r="B90" s="135" t="s">
        <v>130</v>
      </c>
      <c r="C90" s="9" t="s">
        <v>0</v>
      </c>
      <c r="D90" s="9" t="s">
        <v>12</v>
      </c>
      <c r="E90" s="9" t="s">
        <v>58</v>
      </c>
      <c r="F90" s="9" t="s">
        <v>3</v>
      </c>
      <c r="G90" s="9" t="s">
        <v>76</v>
      </c>
      <c r="H90" s="9" t="s">
        <v>1</v>
      </c>
      <c r="I90" s="27"/>
      <c r="J90" s="9" t="s">
        <v>2</v>
      </c>
      <c r="K90" s="9" t="s">
        <v>13</v>
      </c>
      <c r="L90" s="9" t="s">
        <v>14</v>
      </c>
      <c r="M90" s="9" t="s">
        <v>8</v>
      </c>
      <c r="N90" s="27"/>
      <c r="O90" s="9" t="s">
        <v>3</v>
      </c>
    </row>
    <row r="91" spans="2:15" x14ac:dyDescent="0.3">
      <c r="B91" s="136">
        <v>2025</v>
      </c>
      <c r="C91" s="8" t="s">
        <v>5</v>
      </c>
      <c r="D91" s="8" t="s">
        <v>15</v>
      </c>
      <c r="E91" s="8">
        <f t="shared" ref="E91:E96" si="33">E81+G81</f>
        <v>750</v>
      </c>
      <c r="F91" s="8">
        <v>13.107169689231505</v>
      </c>
      <c r="G91" s="8">
        <v>0</v>
      </c>
      <c r="H91" s="8">
        <f>F91+G91</f>
        <v>13.107169689231505</v>
      </c>
      <c r="J91" s="340" t="s">
        <v>99</v>
      </c>
      <c r="K91" s="27"/>
      <c r="L91" s="17"/>
      <c r="O91" s="8">
        <f>H91+M91</f>
        <v>13.107169689231505</v>
      </c>
    </row>
    <row r="92" spans="2:15" x14ac:dyDescent="0.3">
      <c r="D92" s="8" t="s">
        <v>16</v>
      </c>
      <c r="E92" s="8">
        <f t="shared" si="33"/>
        <v>200</v>
      </c>
      <c r="F92" s="8">
        <v>3.4952452504617342</v>
      </c>
      <c r="G92" s="8">
        <v>0</v>
      </c>
      <c r="H92" s="8">
        <f t="shared" ref="H92:H97" si="34">F92+G92</f>
        <v>3.4952452504617342</v>
      </c>
      <c r="J92" s="341"/>
      <c r="K92" s="27"/>
      <c r="L92" s="17"/>
      <c r="O92" s="8">
        <f t="shared" ref="O92:O97" si="35">H92+M92</f>
        <v>3.4952452504617342</v>
      </c>
    </row>
    <row r="93" spans="2:15" x14ac:dyDescent="0.3">
      <c r="D93" s="8" t="s">
        <v>17</v>
      </c>
      <c r="E93" s="8">
        <f t="shared" si="33"/>
        <v>100</v>
      </c>
      <c r="F93" s="8">
        <v>1.7476226252308671</v>
      </c>
      <c r="G93" s="8">
        <v>0</v>
      </c>
      <c r="H93" s="8">
        <f t="shared" si="34"/>
        <v>1.7476226252308671</v>
      </c>
      <c r="J93" s="341"/>
      <c r="L93" s="17"/>
      <c r="O93" s="8">
        <f t="shared" si="35"/>
        <v>1.7476226252308671</v>
      </c>
    </row>
    <row r="94" spans="2:15" x14ac:dyDescent="0.3">
      <c r="D94" s="8" t="s">
        <v>18</v>
      </c>
      <c r="E94" s="8">
        <f t="shared" si="33"/>
        <v>34238</v>
      </c>
      <c r="F94" s="8">
        <v>6805.4213722921859</v>
      </c>
      <c r="G94" s="8">
        <v>0</v>
      </c>
      <c r="H94" s="8">
        <f t="shared" si="34"/>
        <v>6805.4213722921859</v>
      </c>
      <c r="O94" s="8">
        <f t="shared" si="35"/>
        <v>6805.4213722921859</v>
      </c>
    </row>
    <row r="95" spans="2:15" x14ac:dyDescent="0.3">
      <c r="D95" s="8" t="s">
        <v>19</v>
      </c>
      <c r="E95" s="8">
        <f t="shared" si="33"/>
        <v>1800</v>
      </c>
      <c r="F95" s="8">
        <v>31.457207254155609</v>
      </c>
      <c r="G95" s="8">
        <v>0</v>
      </c>
      <c r="H95" s="8">
        <f t="shared" si="34"/>
        <v>31.457207254155609</v>
      </c>
      <c r="O95" s="8">
        <f t="shared" si="35"/>
        <v>31.457207254155609</v>
      </c>
    </row>
    <row r="96" spans="2:15" x14ac:dyDescent="0.3">
      <c r="D96" s="8" t="s">
        <v>82</v>
      </c>
      <c r="E96" s="8">
        <f t="shared" si="33"/>
        <v>15000</v>
      </c>
      <c r="F96" s="8">
        <v>15102.530681805818</v>
      </c>
      <c r="G96" s="8">
        <v>0</v>
      </c>
      <c r="H96" s="8">
        <f t="shared" si="34"/>
        <v>15102.530681805818</v>
      </c>
      <c r="O96" s="8">
        <f t="shared" si="35"/>
        <v>15102.530681805818</v>
      </c>
    </row>
    <row r="97" spans="2:15" x14ac:dyDescent="0.3">
      <c r="D97" s="8" t="s">
        <v>43</v>
      </c>
      <c r="E97" s="8">
        <f t="shared" ref="E97" si="36">E87+G87</f>
        <v>9550</v>
      </c>
      <c r="F97" s="8">
        <v>9697.2091162065717</v>
      </c>
      <c r="G97" s="137">
        <f>200+3000</f>
        <v>3200</v>
      </c>
      <c r="H97" s="8">
        <f t="shared" si="34"/>
        <v>12897.209116206572</v>
      </c>
      <c r="O97" s="8">
        <f t="shared" si="35"/>
        <v>12897.209116206572</v>
      </c>
    </row>
    <row r="98" spans="2:15" x14ac:dyDescent="0.3">
      <c r="E98" s="13">
        <f>SUM(E91:E97)</f>
        <v>61638</v>
      </c>
      <c r="F98" s="13">
        <f>SUM(F91:F97)</f>
        <v>31654.968415123658</v>
      </c>
      <c r="G98" s="13">
        <f>SUM(G91:G97)</f>
        <v>3200</v>
      </c>
      <c r="H98" s="13">
        <f>SUM(H91:H97)</f>
        <v>34854.968415123658</v>
      </c>
      <c r="M98" s="13">
        <f>SUM(M91:M97)</f>
        <v>0</v>
      </c>
      <c r="O98" s="13">
        <f>SUM(O91:O97)</f>
        <v>34854.968415123658</v>
      </c>
    </row>
    <row r="100" spans="2:15" x14ac:dyDescent="0.3">
      <c r="B100" s="135" t="s">
        <v>130</v>
      </c>
      <c r="C100" s="9" t="s">
        <v>0</v>
      </c>
      <c r="D100" s="9" t="s">
        <v>12</v>
      </c>
      <c r="E100" s="9" t="s">
        <v>58</v>
      </c>
      <c r="F100" s="9" t="s">
        <v>3</v>
      </c>
      <c r="G100" s="9" t="s">
        <v>76</v>
      </c>
      <c r="H100" s="9" t="s">
        <v>1</v>
      </c>
      <c r="I100" s="27"/>
      <c r="J100" s="9" t="s">
        <v>2</v>
      </c>
      <c r="K100" s="9" t="s">
        <v>13</v>
      </c>
      <c r="L100" s="9" t="s">
        <v>14</v>
      </c>
      <c r="M100" s="9" t="s">
        <v>8</v>
      </c>
      <c r="N100" s="27"/>
      <c r="O100" s="9" t="s">
        <v>3</v>
      </c>
    </row>
    <row r="101" spans="2:15" x14ac:dyDescent="0.3">
      <c r="B101" s="136">
        <v>2026</v>
      </c>
      <c r="C101" s="8" t="s">
        <v>131</v>
      </c>
      <c r="D101" s="8" t="s">
        <v>15</v>
      </c>
      <c r="E101" s="8">
        <f t="shared" ref="E101:E107" si="37">E91+G91</f>
        <v>750</v>
      </c>
      <c r="F101" s="8">
        <f>O91</f>
        <v>13.107169689231505</v>
      </c>
      <c r="G101" s="8">
        <v>0</v>
      </c>
      <c r="H101" s="8">
        <f>F101+G101</f>
        <v>13.107169689231505</v>
      </c>
      <c r="J101" s="340" t="s">
        <v>99</v>
      </c>
      <c r="K101" s="27"/>
      <c r="L101" s="17"/>
      <c r="O101" s="8">
        <f>H101+M101</f>
        <v>13.107169689231505</v>
      </c>
    </row>
    <row r="102" spans="2:15" x14ac:dyDescent="0.3">
      <c r="D102" s="8" t="s">
        <v>16</v>
      </c>
      <c r="E102" s="8">
        <f t="shared" si="37"/>
        <v>200</v>
      </c>
      <c r="F102" s="8">
        <f t="shared" ref="F102:F107" si="38">O92</f>
        <v>3.4952452504617342</v>
      </c>
      <c r="G102" s="8">
        <v>0</v>
      </c>
      <c r="H102" s="8">
        <f t="shared" ref="H102:H107" si="39">F102+G102</f>
        <v>3.4952452504617342</v>
      </c>
      <c r="J102" s="341"/>
      <c r="K102" s="27"/>
      <c r="L102" s="17"/>
      <c r="O102" s="8">
        <f t="shared" ref="O102:O107" si="40">H102+M102</f>
        <v>3.4952452504617342</v>
      </c>
    </row>
    <row r="103" spans="2:15" x14ac:dyDescent="0.3">
      <c r="D103" s="8" t="s">
        <v>17</v>
      </c>
      <c r="E103" s="8">
        <f t="shared" si="37"/>
        <v>100</v>
      </c>
      <c r="F103" s="8">
        <f t="shared" si="38"/>
        <v>1.7476226252308671</v>
      </c>
      <c r="G103" s="8">
        <v>0</v>
      </c>
      <c r="H103" s="8">
        <f t="shared" si="39"/>
        <v>1.7476226252308671</v>
      </c>
      <c r="J103" s="341"/>
      <c r="L103" s="17"/>
      <c r="O103" s="8">
        <f t="shared" si="40"/>
        <v>1.7476226252308671</v>
      </c>
    </row>
    <row r="104" spans="2:15" x14ac:dyDescent="0.3">
      <c r="D104" s="8" t="s">
        <v>18</v>
      </c>
      <c r="E104" s="8">
        <f t="shared" si="37"/>
        <v>34238</v>
      </c>
      <c r="F104" s="8">
        <f t="shared" si="38"/>
        <v>6805.4213722921859</v>
      </c>
      <c r="G104" s="137">
        <v>4000</v>
      </c>
      <c r="H104" s="8">
        <f t="shared" si="39"/>
        <v>10805.421372292185</v>
      </c>
      <c r="O104" s="8">
        <f t="shared" si="40"/>
        <v>10805.421372292185</v>
      </c>
    </row>
    <row r="105" spans="2:15" x14ac:dyDescent="0.3">
      <c r="D105" s="8" t="s">
        <v>19</v>
      </c>
      <c r="E105" s="8">
        <f t="shared" si="37"/>
        <v>1800</v>
      </c>
      <c r="F105" s="8">
        <f t="shared" si="38"/>
        <v>31.457207254155609</v>
      </c>
      <c r="G105" s="8">
        <v>0</v>
      </c>
      <c r="H105" s="8">
        <f t="shared" si="39"/>
        <v>31.457207254155609</v>
      </c>
      <c r="O105" s="8">
        <f t="shared" si="40"/>
        <v>31.457207254155609</v>
      </c>
    </row>
    <row r="106" spans="2:15" x14ac:dyDescent="0.3">
      <c r="D106" s="8" t="s">
        <v>82</v>
      </c>
      <c r="E106" s="8">
        <f t="shared" si="37"/>
        <v>15000</v>
      </c>
      <c r="F106" s="8">
        <f t="shared" si="38"/>
        <v>15102.530681805818</v>
      </c>
      <c r="G106" s="8">
        <v>0</v>
      </c>
      <c r="H106" s="8">
        <f t="shared" si="39"/>
        <v>15102.530681805818</v>
      </c>
      <c r="O106" s="8">
        <f t="shared" si="40"/>
        <v>15102.530681805818</v>
      </c>
    </row>
    <row r="107" spans="2:15" x14ac:dyDescent="0.3">
      <c r="D107" s="8" t="s">
        <v>43</v>
      </c>
      <c r="E107" s="8">
        <f t="shared" si="37"/>
        <v>12750</v>
      </c>
      <c r="F107" s="8">
        <f t="shared" si="38"/>
        <v>12897.209116206572</v>
      </c>
      <c r="G107" s="137">
        <v>-4000</v>
      </c>
      <c r="H107" s="8">
        <f t="shared" si="39"/>
        <v>8897.2091162065717</v>
      </c>
      <c r="O107" s="8">
        <f t="shared" si="40"/>
        <v>8897.2091162065717</v>
      </c>
    </row>
    <row r="108" spans="2:15" x14ac:dyDescent="0.3">
      <c r="E108" s="13">
        <f>SUM(E101:E107)</f>
        <v>64838</v>
      </c>
      <c r="F108" s="13">
        <f>SUM(F101:F107)</f>
        <v>34854.968415123658</v>
      </c>
      <c r="G108" s="13">
        <f>SUM(G101:G107)</f>
        <v>0</v>
      </c>
      <c r="H108" s="13">
        <f>SUM(H101:H107)</f>
        <v>34854.968415123651</v>
      </c>
      <c r="M108" s="13">
        <f>SUM(M101:M107)</f>
        <v>0</v>
      </c>
      <c r="O108" s="13">
        <f>SUM(O101:O107)</f>
        <v>34854.968415123651</v>
      </c>
    </row>
  </sheetData>
  <mergeCells count="4">
    <mergeCell ref="J51:J53"/>
    <mergeCell ref="J71:J73"/>
    <mergeCell ref="J91:J93"/>
    <mergeCell ref="J101:J10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565C9-5260-4377-A403-1E672C9D63DE}">
  <dimension ref="B2:AM26"/>
  <sheetViews>
    <sheetView workbookViewId="0">
      <selection activeCell="H7" sqref="H7"/>
    </sheetView>
  </sheetViews>
  <sheetFormatPr defaultRowHeight="14.4" x14ac:dyDescent="0.3"/>
  <cols>
    <col min="2" max="2" width="12.77734375" style="1" customWidth="1"/>
    <col min="3" max="3" width="8" style="17" customWidth="1"/>
    <col min="4" max="4" width="12.77734375" style="17" customWidth="1"/>
    <col min="6" max="6" width="12.77734375" style="1" customWidth="1"/>
    <col min="7" max="7" width="8" style="17" customWidth="1"/>
    <col min="8" max="8" width="12.77734375" style="17" customWidth="1"/>
    <col min="10" max="10" width="12.77734375" style="1" customWidth="1"/>
    <col min="11" max="11" width="8" style="17" customWidth="1"/>
    <col min="12" max="12" width="12.77734375" style="17" customWidth="1"/>
    <col min="14" max="14" width="12.77734375" style="1" customWidth="1"/>
    <col min="15" max="15" width="8" style="17" customWidth="1"/>
    <col min="16" max="16" width="12.77734375" style="17" customWidth="1"/>
    <col min="18" max="18" width="12.77734375" style="1" customWidth="1"/>
    <col min="19" max="19" width="8" style="17" customWidth="1"/>
    <col min="20" max="20" width="12.77734375" style="17" customWidth="1"/>
    <col min="22" max="22" width="12.77734375" style="1" customWidth="1"/>
    <col min="23" max="23" width="8" style="17" customWidth="1"/>
    <col min="24" max="24" width="12.77734375" style="1" customWidth="1"/>
    <col min="26" max="26" width="12.77734375" customWidth="1"/>
    <col min="27" max="27" width="8" customWidth="1"/>
    <col min="28" max="28" width="12.77734375" customWidth="1"/>
  </cols>
  <sheetData>
    <row r="2" spans="2:39" x14ac:dyDescent="0.3">
      <c r="B2" s="345" t="s">
        <v>42</v>
      </c>
      <c r="C2" s="345"/>
      <c r="F2" s="17"/>
      <c r="G2"/>
      <c r="H2" s="1"/>
      <c r="I2" s="17"/>
      <c r="J2" s="17"/>
      <c r="K2"/>
      <c r="L2" s="1"/>
      <c r="M2" s="17"/>
      <c r="N2" s="17"/>
      <c r="O2"/>
      <c r="P2" s="1"/>
      <c r="Q2" s="17"/>
      <c r="R2" s="17"/>
      <c r="S2"/>
      <c r="T2" s="1"/>
      <c r="U2" s="17"/>
      <c r="W2"/>
      <c r="X2"/>
    </row>
    <row r="3" spans="2:39" x14ac:dyDescent="0.3">
      <c r="B3" s="346" t="s">
        <v>43</v>
      </c>
      <c r="C3" s="346"/>
      <c r="F3" s="17"/>
      <c r="G3"/>
      <c r="H3" s="1"/>
      <c r="I3" s="17"/>
      <c r="J3" s="17"/>
      <c r="K3"/>
      <c r="L3" s="1"/>
      <c r="M3" s="17"/>
      <c r="N3" s="17"/>
      <c r="O3"/>
      <c r="P3" s="1"/>
      <c r="Q3" s="17"/>
      <c r="R3" s="17"/>
      <c r="S3"/>
      <c r="T3" s="1"/>
      <c r="U3" s="17"/>
      <c r="W3"/>
      <c r="X3"/>
    </row>
    <row r="4" spans="2:39" x14ac:dyDescent="0.3">
      <c r="F4" s="17"/>
      <c r="G4"/>
      <c r="H4" s="1"/>
      <c r="I4" s="17"/>
      <c r="J4" s="17"/>
      <c r="K4"/>
      <c r="L4" s="1"/>
      <c r="M4" s="17"/>
      <c r="N4" s="17"/>
      <c r="O4"/>
      <c r="P4" s="1"/>
      <c r="Q4" s="17"/>
      <c r="R4" s="17"/>
      <c r="S4"/>
      <c r="T4" s="1"/>
      <c r="U4" s="17"/>
      <c r="W4"/>
      <c r="X4"/>
    </row>
    <row r="6" spans="2:39" x14ac:dyDescent="0.3">
      <c r="B6" s="342" t="s">
        <v>43</v>
      </c>
      <c r="C6" s="343"/>
      <c r="D6" s="344"/>
      <c r="E6" s="11"/>
      <c r="F6" s="342" t="s">
        <v>25</v>
      </c>
      <c r="G6" s="343"/>
      <c r="H6" s="344"/>
      <c r="I6" s="11"/>
      <c r="J6" s="342" t="s">
        <v>26</v>
      </c>
      <c r="K6" s="343"/>
      <c r="L6" s="344"/>
      <c r="M6" s="11"/>
      <c r="N6" s="342" t="s">
        <v>27</v>
      </c>
      <c r="O6" s="343"/>
      <c r="P6" s="344"/>
      <c r="Q6" s="11"/>
      <c r="R6" s="342" t="s">
        <v>28</v>
      </c>
      <c r="S6" s="343"/>
      <c r="T6" s="344"/>
      <c r="U6" s="11"/>
      <c r="V6" s="342" t="s">
        <v>29</v>
      </c>
      <c r="W6" s="343"/>
      <c r="X6" s="344"/>
      <c r="Z6" s="342" t="s">
        <v>81</v>
      </c>
      <c r="AA6" s="343"/>
      <c r="AB6" s="344"/>
      <c r="AL6" t="s">
        <v>62</v>
      </c>
    </row>
    <row r="7" spans="2:39" x14ac:dyDescent="0.3">
      <c r="B7" s="138" t="s">
        <v>132</v>
      </c>
      <c r="C7" s="139"/>
      <c r="D7" s="140">
        <f>SUM(D8:D30)</f>
        <v>19250</v>
      </c>
      <c r="E7" s="11"/>
      <c r="F7" s="138" t="s">
        <v>132</v>
      </c>
      <c r="G7" s="139"/>
      <c r="H7" s="140">
        <f>SUM(H8:H30)</f>
        <v>40738</v>
      </c>
      <c r="I7" s="11"/>
      <c r="J7" s="138" t="s">
        <v>132</v>
      </c>
      <c r="K7" s="139"/>
      <c r="L7" s="140">
        <f>SUM(L8:L30)</f>
        <v>6200</v>
      </c>
      <c r="M7" s="11"/>
      <c r="N7" s="138" t="s">
        <v>132</v>
      </c>
      <c r="O7" s="139"/>
      <c r="P7" s="140">
        <f>SUM(P8:P9)</f>
        <v>1800</v>
      </c>
      <c r="Q7" s="117"/>
      <c r="R7" s="138" t="s">
        <v>132</v>
      </c>
      <c r="S7" s="139"/>
      <c r="T7" s="140">
        <f>SUM(T8:T9)</f>
        <v>350</v>
      </c>
      <c r="U7" s="117"/>
      <c r="V7" s="138" t="s">
        <v>132</v>
      </c>
      <c r="W7" s="139"/>
      <c r="X7" s="140">
        <f>SUM(X8:X9)</f>
        <v>750</v>
      </c>
      <c r="Y7" s="118"/>
      <c r="Z7" s="138" t="s">
        <v>132</v>
      </c>
      <c r="AA7" s="139"/>
      <c r="AB7" s="140">
        <f>SUM(AB8:AB9)</f>
        <v>15000</v>
      </c>
    </row>
    <row r="8" spans="2:39" x14ac:dyDescent="0.3">
      <c r="B8" s="16">
        <v>45661</v>
      </c>
      <c r="C8" s="106" t="s">
        <v>78</v>
      </c>
      <c r="D8" s="17">
        <v>1050</v>
      </c>
      <c r="F8" s="1" t="s">
        <v>30</v>
      </c>
      <c r="G8" s="17" t="s">
        <v>32</v>
      </c>
      <c r="H8" s="17">
        <v>28000</v>
      </c>
      <c r="J8" s="1" t="s">
        <v>30</v>
      </c>
      <c r="K8" s="17" t="s">
        <v>32</v>
      </c>
      <c r="L8" s="17">
        <v>200</v>
      </c>
      <c r="N8" s="1" t="s">
        <v>30</v>
      </c>
      <c r="O8" s="17" t="s">
        <v>32</v>
      </c>
      <c r="P8" s="17">
        <v>1800</v>
      </c>
      <c r="R8" s="1" t="s">
        <v>30</v>
      </c>
      <c r="S8" s="17" t="s">
        <v>32</v>
      </c>
      <c r="T8" s="17">
        <v>100</v>
      </c>
      <c r="V8" s="1" t="s">
        <v>30</v>
      </c>
      <c r="W8" s="17" t="s">
        <v>32</v>
      </c>
      <c r="X8" s="17">
        <v>750</v>
      </c>
      <c r="Z8" s="107">
        <v>45936</v>
      </c>
      <c r="AA8" s="109" t="s">
        <v>32</v>
      </c>
      <c r="AB8" s="109">
        <v>5000</v>
      </c>
      <c r="AC8" t="s">
        <v>117</v>
      </c>
    </row>
    <row r="9" spans="2:39" x14ac:dyDescent="0.3">
      <c r="B9" s="16" t="s">
        <v>54</v>
      </c>
      <c r="C9" s="106" t="s">
        <v>78</v>
      </c>
      <c r="D9" s="17">
        <v>1050</v>
      </c>
      <c r="F9" s="16">
        <v>45903</v>
      </c>
      <c r="G9" s="17" t="s">
        <v>32</v>
      </c>
      <c r="H9" s="17">
        <v>888</v>
      </c>
      <c r="J9" s="23">
        <v>45661</v>
      </c>
      <c r="K9" s="24" t="s">
        <v>32</v>
      </c>
      <c r="L9" s="24">
        <v>1050</v>
      </c>
      <c r="R9" s="25" t="s">
        <v>59</v>
      </c>
      <c r="S9" s="24" t="s">
        <v>32</v>
      </c>
      <c r="T9" s="24">
        <v>250</v>
      </c>
      <c r="Z9" s="111" t="s">
        <v>115</v>
      </c>
      <c r="AA9" s="110" t="s">
        <v>32</v>
      </c>
      <c r="AB9" s="109">
        <v>10000</v>
      </c>
      <c r="AC9" t="s">
        <v>118</v>
      </c>
    </row>
    <row r="10" spans="2:39" x14ac:dyDescent="0.3">
      <c r="B10" s="1" t="s">
        <v>59</v>
      </c>
      <c r="C10" s="106" t="s">
        <v>79</v>
      </c>
      <c r="D10" s="17">
        <v>250</v>
      </c>
      <c r="F10" s="1" t="s">
        <v>31</v>
      </c>
      <c r="G10" s="17" t="s">
        <v>32</v>
      </c>
      <c r="H10" s="17">
        <v>1000</v>
      </c>
      <c r="J10" s="25" t="s">
        <v>54</v>
      </c>
      <c r="K10" s="24" t="s">
        <v>32</v>
      </c>
      <c r="L10" s="24">
        <v>1050</v>
      </c>
      <c r="AM10" t="s">
        <v>62</v>
      </c>
    </row>
    <row r="11" spans="2:39" x14ac:dyDescent="0.3">
      <c r="B11" s="16">
        <v>45693</v>
      </c>
      <c r="C11" s="106" t="s">
        <v>78</v>
      </c>
      <c r="D11" s="17">
        <v>500</v>
      </c>
      <c r="F11" s="16">
        <v>45813</v>
      </c>
      <c r="G11" s="17" t="s">
        <v>32</v>
      </c>
      <c r="H11" s="17">
        <v>350</v>
      </c>
      <c r="J11" s="23">
        <v>45693</v>
      </c>
      <c r="K11" s="24" t="s">
        <v>32</v>
      </c>
      <c r="L11" s="24">
        <v>500</v>
      </c>
    </row>
    <row r="12" spans="2:39" x14ac:dyDescent="0.3">
      <c r="B12" s="16" t="s">
        <v>68</v>
      </c>
      <c r="C12" s="106" t="s">
        <v>78</v>
      </c>
      <c r="D12" s="17">
        <v>400</v>
      </c>
      <c r="F12" s="16">
        <v>45785</v>
      </c>
      <c r="G12" s="17" t="s">
        <v>32</v>
      </c>
      <c r="H12" s="17">
        <v>1000</v>
      </c>
      <c r="J12" s="25" t="s">
        <v>68</v>
      </c>
      <c r="K12" s="24" t="s">
        <v>32</v>
      </c>
      <c r="L12" s="24">
        <v>400</v>
      </c>
    </row>
    <row r="13" spans="2:39" x14ac:dyDescent="0.3">
      <c r="B13" s="1" t="s">
        <v>70</v>
      </c>
      <c r="C13" s="106" t="s">
        <v>78</v>
      </c>
      <c r="D13" s="17">
        <v>5000</v>
      </c>
      <c r="F13" s="1" t="s">
        <v>98</v>
      </c>
      <c r="G13" s="17" t="s">
        <v>32</v>
      </c>
      <c r="H13" s="17">
        <v>2000</v>
      </c>
      <c r="J13" s="25" t="s">
        <v>70</v>
      </c>
      <c r="K13" s="24" t="s">
        <v>32</v>
      </c>
      <c r="L13" s="24">
        <v>5000</v>
      </c>
    </row>
    <row r="14" spans="2:39" x14ac:dyDescent="0.3">
      <c r="B14" s="16">
        <v>45906</v>
      </c>
      <c r="C14" s="106" t="s">
        <v>80</v>
      </c>
      <c r="D14" s="17">
        <v>-2000</v>
      </c>
      <c r="F14" s="1" t="s">
        <v>100</v>
      </c>
      <c r="G14" s="17" t="s">
        <v>32</v>
      </c>
      <c r="H14" s="17">
        <v>1000</v>
      </c>
      <c r="J14" s="16">
        <v>45906</v>
      </c>
      <c r="K14" s="17" t="s">
        <v>77</v>
      </c>
      <c r="L14" s="17">
        <v>-2000</v>
      </c>
    </row>
    <row r="15" spans="2:39" x14ac:dyDescent="0.3">
      <c r="B15" s="1" t="s">
        <v>98</v>
      </c>
      <c r="C15" s="106" t="s">
        <v>80</v>
      </c>
      <c r="D15" s="17">
        <v>-2000</v>
      </c>
      <c r="F15" s="16">
        <v>46082</v>
      </c>
      <c r="G15" s="17" t="s">
        <v>32</v>
      </c>
      <c r="H15" s="17">
        <v>4000</v>
      </c>
      <c r="J15" s="1" t="s">
        <v>98</v>
      </c>
      <c r="K15" s="17" t="s">
        <v>77</v>
      </c>
      <c r="L15" s="17">
        <v>-2000</v>
      </c>
    </row>
    <row r="16" spans="2:39" x14ac:dyDescent="0.3">
      <c r="B16" s="110" t="s">
        <v>103</v>
      </c>
      <c r="C16" s="108" t="s">
        <v>78</v>
      </c>
      <c r="D16" s="109">
        <v>5000</v>
      </c>
      <c r="F16" s="16" t="s">
        <v>155</v>
      </c>
      <c r="G16" s="17" t="s">
        <v>32</v>
      </c>
      <c r="H16" s="17">
        <v>2500</v>
      </c>
      <c r="J16" s="25" t="s">
        <v>103</v>
      </c>
      <c r="K16" s="24" t="s">
        <v>104</v>
      </c>
      <c r="L16" s="24">
        <v>5000</v>
      </c>
    </row>
    <row r="17" spans="2:39" x14ac:dyDescent="0.3">
      <c r="B17" s="110" t="s">
        <v>105</v>
      </c>
      <c r="C17" s="108" t="s">
        <v>78</v>
      </c>
      <c r="D17" s="109">
        <v>100</v>
      </c>
      <c r="J17" s="25" t="s">
        <v>105</v>
      </c>
      <c r="K17" s="24" t="s">
        <v>32</v>
      </c>
      <c r="L17" s="24">
        <v>100</v>
      </c>
    </row>
    <row r="18" spans="2:39" x14ac:dyDescent="0.3">
      <c r="B18" s="107">
        <v>45788</v>
      </c>
      <c r="C18" s="108" t="s">
        <v>78</v>
      </c>
      <c r="D18" s="109">
        <v>200</v>
      </c>
      <c r="J18" s="23">
        <v>45788</v>
      </c>
      <c r="K18" s="24" t="s">
        <v>32</v>
      </c>
      <c r="L18" s="24">
        <v>200</v>
      </c>
    </row>
    <row r="19" spans="2:39" x14ac:dyDescent="0.3">
      <c r="B19" s="16">
        <v>45728</v>
      </c>
      <c r="C19" s="106" t="s">
        <v>78</v>
      </c>
      <c r="D19" s="17">
        <v>200</v>
      </c>
      <c r="J19" s="23">
        <v>45728</v>
      </c>
      <c r="K19" s="24" t="s">
        <v>32</v>
      </c>
      <c r="L19" s="24">
        <v>200</v>
      </c>
    </row>
    <row r="20" spans="2:39" x14ac:dyDescent="0.3">
      <c r="B20" s="16" t="s">
        <v>123</v>
      </c>
      <c r="C20" s="106" t="s">
        <v>78</v>
      </c>
      <c r="D20" s="17">
        <v>3000</v>
      </c>
      <c r="J20" s="25" t="s">
        <v>123</v>
      </c>
      <c r="K20" s="24" t="s">
        <v>32</v>
      </c>
      <c r="L20" s="24">
        <v>3000</v>
      </c>
    </row>
    <row r="21" spans="2:39" x14ac:dyDescent="0.3">
      <c r="B21" s="16">
        <v>46082</v>
      </c>
      <c r="C21" s="106" t="s">
        <v>80</v>
      </c>
      <c r="D21" s="17">
        <v>4000</v>
      </c>
      <c r="J21" s="16">
        <v>46082</v>
      </c>
      <c r="K21" s="17" t="s">
        <v>77</v>
      </c>
      <c r="L21" s="17">
        <v>-4000</v>
      </c>
      <c r="AK21" t="s">
        <v>62</v>
      </c>
    </row>
    <row r="22" spans="2:39" x14ac:dyDescent="0.3">
      <c r="B22" s="16" t="s">
        <v>155</v>
      </c>
      <c r="C22" s="106" t="s">
        <v>80</v>
      </c>
      <c r="D22" s="17">
        <v>2500</v>
      </c>
      <c r="J22" s="16" t="s">
        <v>155</v>
      </c>
      <c r="K22" s="17" t="s">
        <v>77</v>
      </c>
      <c r="L22" s="17">
        <v>-2500</v>
      </c>
    </row>
    <row r="24" spans="2:39" x14ac:dyDescent="0.3">
      <c r="AM24" t="s">
        <v>62</v>
      </c>
    </row>
    <row r="26" spans="2:39" x14ac:dyDescent="0.3">
      <c r="AL26" t="s">
        <v>62</v>
      </c>
    </row>
  </sheetData>
  <mergeCells count="9">
    <mergeCell ref="Z6:AB6"/>
    <mergeCell ref="R6:T6"/>
    <mergeCell ref="V6:X6"/>
    <mergeCell ref="N6:P6"/>
    <mergeCell ref="B2:C2"/>
    <mergeCell ref="B3:C3"/>
    <mergeCell ref="B6:D6"/>
    <mergeCell ref="F6:H6"/>
    <mergeCell ref="J6:L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40A9E-CA64-4256-B174-4705247E1E52}">
  <dimension ref="A1:O89"/>
  <sheetViews>
    <sheetView tabSelected="1" topLeftCell="A52" zoomScale="85" zoomScaleNormal="85" workbookViewId="0">
      <selection activeCell="E77" sqref="E77"/>
    </sheetView>
  </sheetViews>
  <sheetFormatPr defaultRowHeight="14.4" x14ac:dyDescent="0.3"/>
  <cols>
    <col min="1" max="1" width="8.88671875" style="33"/>
    <col min="2" max="2" width="12.109375" style="77" customWidth="1"/>
    <col min="3" max="3" width="10.5546875" style="33" customWidth="1"/>
    <col min="4" max="4" width="11.77734375" style="34" customWidth="1"/>
    <col min="5" max="5" width="49.77734375" style="34" customWidth="1"/>
    <col min="6" max="6" width="10.44140625" style="34" customWidth="1"/>
    <col min="7" max="7" width="15.5546875" style="68" bestFit="1" customWidth="1"/>
    <col min="8" max="8" width="13" style="52" bestFit="1" customWidth="1"/>
    <col min="9" max="9" width="17" style="68" customWidth="1"/>
    <col min="10" max="10" width="12.77734375" style="33" bestFit="1" customWidth="1"/>
    <col min="11" max="11" width="10.33203125" style="33" customWidth="1"/>
    <col min="12" max="12" width="36.109375" style="33" customWidth="1"/>
    <col min="13" max="14" width="8.88671875" style="33"/>
    <col min="15" max="15" width="10.6640625" style="33" bestFit="1" customWidth="1"/>
    <col min="16" max="16384" width="8.88671875" style="33"/>
  </cols>
  <sheetData>
    <row r="1" spans="1:13" x14ac:dyDescent="0.3">
      <c r="B1" s="44"/>
    </row>
    <row r="2" spans="1:13" x14ac:dyDescent="0.3">
      <c r="A2" s="40"/>
      <c r="B2" s="180" t="s">
        <v>20</v>
      </c>
      <c r="C2" s="331"/>
      <c r="D2" s="43"/>
      <c r="E2" s="43"/>
      <c r="F2" s="43"/>
      <c r="G2" s="69"/>
      <c r="H2" s="53"/>
      <c r="I2" s="75"/>
      <c r="J2" s="44"/>
      <c r="K2" s="44"/>
      <c r="L2" s="44"/>
    </row>
    <row r="3" spans="1:13" x14ac:dyDescent="0.3">
      <c r="A3" s="40"/>
      <c r="B3" s="181" t="s">
        <v>6</v>
      </c>
      <c r="C3" s="181" t="s">
        <v>35</v>
      </c>
      <c r="D3" s="170" t="s">
        <v>44</v>
      </c>
      <c r="E3" s="170" t="s">
        <v>85</v>
      </c>
      <c r="F3" s="170" t="s">
        <v>135</v>
      </c>
      <c r="G3" s="182" t="s">
        <v>84</v>
      </c>
      <c r="H3" s="183" t="s">
        <v>7</v>
      </c>
      <c r="I3" s="184" t="s">
        <v>39</v>
      </c>
      <c r="J3" s="21" t="s">
        <v>63</v>
      </c>
      <c r="K3" s="20" t="s">
        <v>142</v>
      </c>
      <c r="L3" s="20" t="s">
        <v>37</v>
      </c>
      <c r="M3" s="41"/>
    </row>
    <row r="4" spans="1:13" x14ac:dyDescent="0.3">
      <c r="A4" s="40"/>
      <c r="B4" s="99">
        <v>45903</v>
      </c>
      <c r="C4" s="205" t="s">
        <v>38</v>
      </c>
      <c r="D4" s="112" t="s">
        <v>66</v>
      </c>
      <c r="E4" s="206" t="s">
        <v>67</v>
      </c>
      <c r="F4" s="205"/>
      <c r="G4" s="207"/>
      <c r="H4" s="208"/>
      <c r="I4" s="209">
        <v>888</v>
      </c>
      <c r="J4" s="102"/>
      <c r="K4" s="210"/>
      <c r="L4" s="103"/>
      <c r="M4" s="41"/>
    </row>
    <row r="5" spans="1:13" x14ac:dyDescent="0.3">
      <c r="A5" s="40"/>
      <c r="B5" s="116">
        <v>45905</v>
      </c>
      <c r="C5" s="211" t="s">
        <v>110</v>
      </c>
      <c r="D5" s="212" t="s">
        <v>66</v>
      </c>
      <c r="E5" s="213" t="s">
        <v>67</v>
      </c>
      <c r="F5" s="211"/>
      <c r="G5" s="214"/>
      <c r="H5" s="215"/>
      <c r="I5" s="216">
        <v>488.59</v>
      </c>
      <c r="J5" s="217">
        <f>I5-I4</f>
        <v>-399.41</v>
      </c>
      <c r="K5" s="218">
        <v>45778</v>
      </c>
      <c r="L5" s="219"/>
      <c r="M5" s="41"/>
    </row>
    <row r="6" spans="1:13" x14ac:dyDescent="0.3">
      <c r="A6" s="40"/>
      <c r="B6" s="224" t="s">
        <v>31</v>
      </c>
      <c r="C6" s="153" t="s">
        <v>38</v>
      </c>
      <c r="D6" s="153" t="s">
        <v>45</v>
      </c>
      <c r="E6" s="154" t="s">
        <v>40</v>
      </c>
      <c r="F6" s="153"/>
      <c r="G6" s="225"/>
      <c r="H6" s="155"/>
      <c r="I6" s="225">
        <v>500</v>
      </c>
      <c r="J6" s="226"/>
      <c r="K6" s="154"/>
      <c r="L6" s="227"/>
      <c r="M6" s="41"/>
    </row>
    <row r="7" spans="1:13" x14ac:dyDescent="0.3">
      <c r="A7" s="40"/>
      <c r="B7" s="242" t="s">
        <v>71</v>
      </c>
      <c r="C7" s="47" t="s">
        <v>110</v>
      </c>
      <c r="D7" s="47" t="s">
        <v>45</v>
      </c>
      <c r="E7" s="243" t="s">
        <v>40</v>
      </c>
      <c r="F7" s="47"/>
      <c r="G7" s="72"/>
      <c r="H7" s="56"/>
      <c r="I7" s="72">
        <v>499.73</v>
      </c>
      <c r="J7" s="244">
        <f>I7-I6</f>
        <v>-0.26999999999998181</v>
      </c>
      <c r="K7" s="245">
        <v>45778</v>
      </c>
      <c r="L7" s="246"/>
      <c r="M7" s="41"/>
    </row>
    <row r="8" spans="1:13" x14ac:dyDescent="0.3">
      <c r="A8" s="40"/>
      <c r="B8" s="224" t="s">
        <v>31</v>
      </c>
      <c r="C8" s="153" t="s">
        <v>38</v>
      </c>
      <c r="D8" s="254" t="s">
        <v>45</v>
      </c>
      <c r="E8" s="255" t="s">
        <v>41</v>
      </c>
      <c r="F8" s="153"/>
      <c r="G8" s="225" t="s">
        <v>62</v>
      </c>
      <c r="H8" s="155"/>
      <c r="I8" s="225">
        <v>500</v>
      </c>
      <c r="J8" s="256"/>
      <c r="K8" s="154"/>
      <c r="L8" s="227"/>
      <c r="M8" s="41"/>
    </row>
    <row r="9" spans="1:13" x14ac:dyDescent="0.3">
      <c r="A9" s="40"/>
      <c r="B9" s="266" t="s">
        <v>71</v>
      </c>
      <c r="C9" s="47" t="s">
        <v>110</v>
      </c>
      <c r="D9" s="47" t="s">
        <v>45</v>
      </c>
      <c r="E9" s="243" t="s">
        <v>41</v>
      </c>
      <c r="F9" s="47"/>
      <c r="G9" s="72"/>
      <c r="H9" s="56"/>
      <c r="I9" s="72">
        <v>446.38</v>
      </c>
      <c r="J9" s="244">
        <f>I9-I8</f>
        <v>-53.620000000000005</v>
      </c>
      <c r="K9" s="245">
        <v>45778</v>
      </c>
      <c r="L9" s="246"/>
      <c r="M9" s="41"/>
    </row>
    <row r="10" spans="1:13" x14ac:dyDescent="0.3">
      <c r="A10" s="40"/>
      <c r="B10" s="224">
        <v>45692</v>
      </c>
      <c r="C10" s="153" t="s">
        <v>38</v>
      </c>
      <c r="D10" s="254" t="s">
        <v>46</v>
      </c>
      <c r="E10" s="255" t="s">
        <v>48</v>
      </c>
      <c r="F10" s="153"/>
      <c r="G10" s="225"/>
      <c r="H10" s="155"/>
      <c r="I10" s="225">
        <v>600</v>
      </c>
      <c r="J10" s="256"/>
      <c r="K10" s="154"/>
      <c r="L10" s="227"/>
      <c r="M10" s="41"/>
    </row>
    <row r="11" spans="1:13" x14ac:dyDescent="0.3">
      <c r="A11" s="40"/>
      <c r="B11" s="228">
        <v>45751</v>
      </c>
      <c r="C11" s="36" t="s">
        <v>51</v>
      </c>
      <c r="D11" s="37" t="s">
        <v>46</v>
      </c>
      <c r="E11" s="38" t="s">
        <v>48</v>
      </c>
      <c r="F11" s="36"/>
      <c r="G11" s="71"/>
      <c r="H11" s="55"/>
      <c r="I11" s="71">
        <v>600</v>
      </c>
      <c r="J11" s="49"/>
      <c r="K11" s="80"/>
      <c r="L11" s="229"/>
      <c r="M11" s="41"/>
    </row>
    <row r="12" spans="1:13" x14ac:dyDescent="0.3">
      <c r="A12" s="40"/>
      <c r="B12" s="228">
        <v>45843</v>
      </c>
      <c r="C12" s="36" t="s">
        <v>38</v>
      </c>
      <c r="D12" s="37" t="s">
        <v>46</v>
      </c>
      <c r="E12" s="38" t="s">
        <v>48</v>
      </c>
      <c r="F12" s="36"/>
      <c r="G12" s="71"/>
      <c r="H12" s="55"/>
      <c r="I12" s="71">
        <v>300</v>
      </c>
      <c r="J12" s="49"/>
      <c r="K12" s="80"/>
      <c r="L12" s="229"/>
      <c r="M12" s="41"/>
    </row>
    <row r="13" spans="1:13" x14ac:dyDescent="0.3">
      <c r="A13" s="40"/>
      <c r="B13" s="266" t="s">
        <v>69</v>
      </c>
      <c r="C13" s="47" t="s">
        <v>110</v>
      </c>
      <c r="D13" s="47" t="s">
        <v>46</v>
      </c>
      <c r="E13" s="243" t="s">
        <v>48</v>
      </c>
      <c r="F13" s="47"/>
      <c r="G13" s="72"/>
      <c r="H13" s="56"/>
      <c r="I13" s="72">
        <v>1796.18</v>
      </c>
      <c r="J13" s="278">
        <f>I13-I12-I11-I10</f>
        <v>296.18000000000006</v>
      </c>
      <c r="K13" s="245">
        <v>45778</v>
      </c>
      <c r="L13" s="246"/>
      <c r="M13" s="41"/>
    </row>
    <row r="14" spans="1:13" x14ac:dyDescent="0.3">
      <c r="A14" s="40"/>
      <c r="B14" s="224">
        <v>45692</v>
      </c>
      <c r="C14" s="153" t="s">
        <v>38</v>
      </c>
      <c r="D14" s="254" t="s">
        <v>46</v>
      </c>
      <c r="E14" s="255" t="s">
        <v>49</v>
      </c>
      <c r="F14" s="153"/>
      <c r="G14" s="225"/>
      <c r="H14" s="155"/>
      <c r="I14" s="225">
        <v>600</v>
      </c>
      <c r="J14" s="256"/>
      <c r="K14" s="113"/>
      <c r="L14" s="279"/>
      <c r="M14" s="41"/>
    </row>
    <row r="15" spans="1:13" x14ac:dyDescent="0.3">
      <c r="A15" s="40"/>
      <c r="B15" s="228">
        <v>45751</v>
      </c>
      <c r="C15" s="36" t="s">
        <v>50</v>
      </c>
      <c r="D15" s="37" t="s">
        <v>46</v>
      </c>
      <c r="E15" s="38" t="s">
        <v>48</v>
      </c>
      <c r="F15" s="36"/>
      <c r="G15" s="71"/>
      <c r="H15" s="55"/>
      <c r="I15" s="71" t="s">
        <v>64</v>
      </c>
      <c r="J15" s="49"/>
      <c r="K15" s="185"/>
      <c r="L15" s="231"/>
      <c r="M15" s="41"/>
    </row>
    <row r="16" spans="1:13" x14ac:dyDescent="0.3">
      <c r="A16" s="40"/>
      <c r="B16" s="228">
        <v>45720</v>
      </c>
      <c r="C16" s="36" t="s">
        <v>38</v>
      </c>
      <c r="D16" s="37" t="s">
        <v>46</v>
      </c>
      <c r="E16" s="38" t="s">
        <v>52</v>
      </c>
      <c r="F16" s="36"/>
      <c r="G16" s="71"/>
      <c r="H16" s="55"/>
      <c r="I16" s="71">
        <v>300</v>
      </c>
      <c r="J16" s="49"/>
      <c r="K16" s="185"/>
      <c r="L16" s="231"/>
      <c r="M16" s="41"/>
    </row>
    <row r="17" spans="1:15" x14ac:dyDescent="0.3">
      <c r="A17" s="40"/>
      <c r="B17" s="228" t="s">
        <v>57</v>
      </c>
      <c r="C17" s="36" t="s">
        <v>38</v>
      </c>
      <c r="D17" s="37" t="s">
        <v>46</v>
      </c>
      <c r="E17" s="38" t="s">
        <v>52</v>
      </c>
      <c r="F17" s="36"/>
      <c r="G17" s="71"/>
      <c r="H17" s="55"/>
      <c r="I17" s="71">
        <v>300</v>
      </c>
      <c r="J17" s="49"/>
      <c r="K17" s="185"/>
      <c r="L17" s="231"/>
      <c r="M17" s="41"/>
    </row>
    <row r="18" spans="1:15" x14ac:dyDescent="0.3">
      <c r="A18" s="40"/>
      <c r="B18" s="228">
        <v>45843</v>
      </c>
      <c r="C18" s="36" t="s">
        <v>38</v>
      </c>
      <c r="D18" s="37" t="s">
        <v>46</v>
      </c>
      <c r="E18" s="38" t="s">
        <v>52</v>
      </c>
      <c r="F18" s="36"/>
      <c r="G18" s="71"/>
      <c r="H18" s="55"/>
      <c r="I18" s="71">
        <v>300</v>
      </c>
      <c r="J18" s="49"/>
      <c r="K18" s="185"/>
      <c r="L18" s="231"/>
      <c r="M18" s="41"/>
    </row>
    <row r="19" spans="1:15" x14ac:dyDescent="0.3">
      <c r="A19" s="40"/>
      <c r="B19" s="230" t="s">
        <v>65</v>
      </c>
      <c r="C19" s="36" t="s">
        <v>50</v>
      </c>
      <c r="D19" s="36" t="s">
        <v>46</v>
      </c>
      <c r="E19" s="80" t="s">
        <v>52</v>
      </c>
      <c r="F19" s="36"/>
      <c r="G19" s="71"/>
      <c r="H19" s="55"/>
      <c r="I19" s="71" t="s">
        <v>64</v>
      </c>
      <c r="J19" s="49"/>
      <c r="K19" s="185"/>
      <c r="L19" s="231"/>
      <c r="M19" s="41"/>
    </row>
    <row r="20" spans="1:15" x14ac:dyDescent="0.3">
      <c r="A20" s="40"/>
      <c r="B20" s="228">
        <v>45720</v>
      </c>
      <c r="C20" s="36" t="s">
        <v>38</v>
      </c>
      <c r="D20" s="37" t="s">
        <v>46</v>
      </c>
      <c r="E20" s="38" t="s">
        <v>53</v>
      </c>
      <c r="F20" s="36"/>
      <c r="G20" s="186"/>
      <c r="H20" s="187"/>
      <c r="I20" s="71">
        <v>600</v>
      </c>
      <c r="J20" s="188"/>
      <c r="K20" s="189"/>
      <c r="L20" s="232"/>
      <c r="M20" s="41"/>
    </row>
    <row r="21" spans="1:15" x14ac:dyDescent="0.3">
      <c r="A21" s="45"/>
      <c r="B21" s="233" t="s">
        <v>55</v>
      </c>
      <c r="C21" s="159" t="s">
        <v>110</v>
      </c>
      <c r="D21" s="234" t="s">
        <v>46</v>
      </c>
      <c r="E21" s="235" t="s">
        <v>53</v>
      </c>
      <c r="F21" s="234"/>
      <c r="G21" s="236"/>
      <c r="H21" s="237"/>
      <c r="I21" s="238">
        <v>644.66999999999996</v>
      </c>
      <c r="J21" s="239">
        <f>I21-I20</f>
        <v>44.669999999999959</v>
      </c>
      <c r="K21" s="240">
        <v>45748</v>
      </c>
      <c r="L21" s="241"/>
      <c r="M21" s="46"/>
      <c r="N21" s="35"/>
    </row>
    <row r="22" spans="1:15" x14ac:dyDescent="0.3">
      <c r="A22" s="45"/>
      <c r="B22" s="257" t="s">
        <v>57</v>
      </c>
      <c r="C22" s="50" t="s">
        <v>38</v>
      </c>
      <c r="D22" s="220" t="s">
        <v>46</v>
      </c>
      <c r="E22" s="221" t="s">
        <v>49</v>
      </c>
      <c r="F22" s="220"/>
      <c r="G22" s="70"/>
      <c r="H22" s="54"/>
      <c r="I22" s="70">
        <v>600</v>
      </c>
      <c r="J22" s="222"/>
      <c r="K22" s="223"/>
      <c r="L22" s="258"/>
      <c r="M22" s="46"/>
      <c r="N22" s="35"/>
    </row>
    <row r="23" spans="1:15" x14ac:dyDescent="0.3">
      <c r="A23" s="45"/>
      <c r="B23" s="228">
        <v>45843</v>
      </c>
      <c r="C23" s="36" t="s">
        <v>38</v>
      </c>
      <c r="D23" s="37" t="s">
        <v>46</v>
      </c>
      <c r="E23" s="39" t="s">
        <v>49</v>
      </c>
      <c r="F23" s="37"/>
      <c r="G23" s="71"/>
      <c r="H23" s="55"/>
      <c r="I23" s="71">
        <v>300</v>
      </c>
      <c r="J23" s="57"/>
      <c r="K23" s="191"/>
      <c r="L23" s="259"/>
      <c r="M23" s="46"/>
      <c r="N23" s="35"/>
    </row>
    <row r="24" spans="1:15" x14ac:dyDescent="0.3">
      <c r="A24" s="45"/>
      <c r="B24" s="228" t="s">
        <v>65</v>
      </c>
      <c r="C24" s="36" t="s">
        <v>51</v>
      </c>
      <c r="D24" s="37" t="s">
        <v>46</v>
      </c>
      <c r="E24" s="39" t="s">
        <v>49</v>
      </c>
      <c r="F24" s="37"/>
      <c r="G24" s="71"/>
      <c r="H24" s="55"/>
      <c r="I24" s="71">
        <v>900</v>
      </c>
      <c r="J24" s="57"/>
      <c r="K24" s="191"/>
      <c r="L24" s="259"/>
      <c r="M24" s="46"/>
      <c r="N24" s="35"/>
    </row>
    <row r="25" spans="1:15" x14ac:dyDescent="0.3">
      <c r="A25" s="45"/>
      <c r="B25" s="174" t="s">
        <v>89</v>
      </c>
      <c r="C25" s="260" t="s">
        <v>110</v>
      </c>
      <c r="D25" s="234" t="s">
        <v>46</v>
      </c>
      <c r="E25" s="235" t="s">
        <v>49</v>
      </c>
      <c r="F25" s="234"/>
      <c r="G25" s="261"/>
      <c r="H25" s="262"/>
      <c r="I25" s="263">
        <v>1895.58</v>
      </c>
      <c r="J25" s="65">
        <f>I25-I22-I23-I24</f>
        <v>95.579999999999927</v>
      </c>
      <c r="K25" s="264">
        <v>45809</v>
      </c>
      <c r="L25" s="265"/>
      <c r="M25" s="46"/>
      <c r="N25" s="35"/>
    </row>
    <row r="26" spans="1:15" x14ac:dyDescent="0.3">
      <c r="A26" s="45"/>
      <c r="B26" s="270" t="s">
        <v>72</v>
      </c>
      <c r="C26" s="247" t="s">
        <v>38</v>
      </c>
      <c r="D26" s="248" t="s">
        <v>46</v>
      </c>
      <c r="E26" s="249" t="s">
        <v>73</v>
      </c>
      <c r="F26" s="247"/>
      <c r="G26" s="250"/>
      <c r="H26" s="251"/>
      <c r="I26" s="250">
        <v>1000</v>
      </c>
      <c r="J26" s="252"/>
      <c r="K26" s="253"/>
      <c r="L26" s="271"/>
      <c r="M26" s="46"/>
      <c r="N26" s="35"/>
    </row>
    <row r="27" spans="1:15" x14ac:dyDescent="0.3">
      <c r="A27" s="45"/>
      <c r="B27" s="272">
        <v>45814</v>
      </c>
      <c r="C27" s="192" t="s">
        <v>38</v>
      </c>
      <c r="D27" s="193" t="s">
        <v>46</v>
      </c>
      <c r="E27" s="194" t="s">
        <v>73</v>
      </c>
      <c r="F27" s="192"/>
      <c r="G27" s="195"/>
      <c r="H27" s="196"/>
      <c r="I27" s="195">
        <v>750</v>
      </c>
      <c r="J27" s="197"/>
      <c r="K27" s="198"/>
      <c r="L27" s="273"/>
      <c r="M27" s="46"/>
      <c r="N27" s="35"/>
    </row>
    <row r="28" spans="1:15" x14ac:dyDescent="0.3">
      <c r="A28" s="45"/>
      <c r="B28" s="62" t="s">
        <v>91</v>
      </c>
      <c r="C28" s="63" t="s">
        <v>110</v>
      </c>
      <c r="D28" s="274" t="s">
        <v>46</v>
      </c>
      <c r="E28" s="275" t="s">
        <v>73</v>
      </c>
      <c r="F28" s="276"/>
      <c r="G28" s="74"/>
      <c r="H28" s="64"/>
      <c r="I28" s="74">
        <v>1875.15</v>
      </c>
      <c r="J28" s="65">
        <v>125.15</v>
      </c>
      <c r="K28" s="277">
        <v>45839</v>
      </c>
      <c r="L28" s="79"/>
      <c r="M28" s="46"/>
      <c r="N28" s="35"/>
      <c r="O28" s="58"/>
    </row>
    <row r="29" spans="1:15" x14ac:dyDescent="0.3">
      <c r="A29" s="45"/>
      <c r="B29" s="270" t="s">
        <v>72</v>
      </c>
      <c r="C29" s="247" t="s">
        <v>38</v>
      </c>
      <c r="D29" s="247" t="s">
        <v>46</v>
      </c>
      <c r="E29" s="267" t="s">
        <v>74</v>
      </c>
      <c r="F29" s="248"/>
      <c r="G29" s="250"/>
      <c r="H29" s="251"/>
      <c r="I29" s="250">
        <v>1000</v>
      </c>
      <c r="J29" s="268"/>
      <c r="K29" s="269"/>
      <c r="L29" s="280"/>
      <c r="M29" s="46"/>
      <c r="N29" s="35"/>
    </row>
    <row r="30" spans="1:15" x14ac:dyDescent="0.3">
      <c r="A30" s="45"/>
      <c r="B30" s="281" t="s">
        <v>89</v>
      </c>
      <c r="C30" s="282" t="s">
        <v>110</v>
      </c>
      <c r="D30" s="276" t="s">
        <v>46</v>
      </c>
      <c r="E30" s="283" t="s">
        <v>74</v>
      </c>
      <c r="F30" s="274"/>
      <c r="G30" s="74"/>
      <c r="H30" s="64"/>
      <c r="I30" s="74">
        <v>987.49</v>
      </c>
      <c r="J30" s="284">
        <f>I30-I29</f>
        <v>-12.509999999999991</v>
      </c>
      <c r="K30" s="285">
        <v>45809</v>
      </c>
      <c r="L30" s="286"/>
      <c r="M30" s="41"/>
      <c r="O30" s="58"/>
    </row>
    <row r="31" spans="1:15" x14ac:dyDescent="0.3">
      <c r="A31" s="45"/>
      <c r="B31" s="60" t="s">
        <v>75</v>
      </c>
      <c r="C31" s="287" t="s">
        <v>38</v>
      </c>
      <c r="D31" s="288" t="s">
        <v>46</v>
      </c>
      <c r="E31" s="289" t="s">
        <v>52</v>
      </c>
      <c r="F31" s="288"/>
      <c r="G31" s="73"/>
      <c r="H31" s="61"/>
      <c r="I31" s="73">
        <v>1000</v>
      </c>
      <c r="J31" s="290"/>
      <c r="K31" s="291"/>
      <c r="L31" s="292"/>
      <c r="M31" s="41"/>
    </row>
    <row r="32" spans="1:15" x14ac:dyDescent="0.3">
      <c r="A32" s="45"/>
      <c r="B32" s="297" t="s">
        <v>91</v>
      </c>
      <c r="C32" s="130" t="s">
        <v>110</v>
      </c>
      <c r="D32" s="298" t="s">
        <v>46</v>
      </c>
      <c r="E32" s="299" t="s">
        <v>52</v>
      </c>
      <c r="F32" s="298"/>
      <c r="G32" s="300"/>
      <c r="H32" s="301"/>
      <c r="I32" s="300">
        <v>1017.18</v>
      </c>
      <c r="J32" s="302">
        <f>I32-I31</f>
        <v>17.17999999999995</v>
      </c>
      <c r="K32" s="303">
        <v>45839</v>
      </c>
      <c r="L32" s="304"/>
      <c r="M32" s="41"/>
    </row>
    <row r="33" spans="1:13" x14ac:dyDescent="0.3">
      <c r="A33" s="45"/>
      <c r="B33" s="173">
        <v>45936</v>
      </c>
      <c r="C33" s="309" t="s">
        <v>38</v>
      </c>
      <c r="D33" s="153" t="s">
        <v>83</v>
      </c>
      <c r="E33" s="255" t="s">
        <v>86</v>
      </c>
      <c r="F33" s="153"/>
      <c r="G33" s="225">
        <v>9.67</v>
      </c>
      <c r="H33" s="155">
        <v>100</v>
      </c>
      <c r="I33" s="225">
        <v>971.18</v>
      </c>
      <c r="J33" s="310"/>
      <c r="K33" s="154"/>
      <c r="L33" s="227"/>
      <c r="M33" s="41"/>
    </row>
    <row r="34" spans="1:13" x14ac:dyDescent="0.3">
      <c r="A34" s="45"/>
      <c r="B34" s="295" t="s">
        <v>87</v>
      </c>
      <c r="C34" s="78" t="s">
        <v>38</v>
      </c>
      <c r="D34" s="36" t="s">
        <v>83</v>
      </c>
      <c r="E34" s="38" t="s">
        <v>86</v>
      </c>
      <c r="F34" s="36"/>
      <c r="G34" s="71">
        <v>9.7100000000000009</v>
      </c>
      <c r="H34" s="55">
        <v>200</v>
      </c>
      <c r="I34" s="71">
        <v>1947.47</v>
      </c>
      <c r="J34" s="35"/>
      <c r="K34" s="80"/>
      <c r="L34" s="229"/>
      <c r="M34" s="41"/>
    </row>
    <row r="35" spans="1:13" x14ac:dyDescent="0.3">
      <c r="A35" s="45"/>
      <c r="B35" s="295" t="s">
        <v>88</v>
      </c>
      <c r="C35" s="78" t="s">
        <v>38</v>
      </c>
      <c r="D35" s="36" t="s">
        <v>83</v>
      </c>
      <c r="E35" s="38" t="s">
        <v>86</v>
      </c>
      <c r="F35" s="36"/>
      <c r="G35" s="71">
        <v>9.6</v>
      </c>
      <c r="H35" s="55">
        <v>100</v>
      </c>
      <c r="I35" s="71">
        <v>964.17</v>
      </c>
      <c r="J35" s="35"/>
      <c r="K35" s="80"/>
      <c r="L35" s="229"/>
      <c r="M35" s="41"/>
    </row>
    <row r="36" spans="1:13" x14ac:dyDescent="0.3">
      <c r="A36" s="45"/>
      <c r="B36" s="295" t="s">
        <v>93</v>
      </c>
      <c r="C36" s="78" t="s">
        <v>38</v>
      </c>
      <c r="D36" s="36" t="s">
        <v>83</v>
      </c>
      <c r="E36" s="38" t="s">
        <v>86</v>
      </c>
      <c r="F36" s="36"/>
      <c r="G36" s="71">
        <v>9.52</v>
      </c>
      <c r="H36" s="55">
        <v>300</v>
      </c>
      <c r="I36" s="71">
        <v>2862.74</v>
      </c>
      <c r="J36" s="35"/>
      <c r="K36" s="80"/>
      <c r="L36" s="229"/>
      <c r="M36" s="41"/>
    </row>
    <row r="37" spans="1:13" x14ac:dyDescent="0.3">
      <c r="A37" s="45"/>
      <c r="B37" s="295" t="s">
        <v>94</v>
      </c>
      <c r="C37" s="78" t="s">
        <v>38</v>
      </c>
      <c r="D37" s="36" t="s">
        <v>83</v>
      </c>
      <c r="E37" s="38" t="s">
        <v>86</v>
      </c>
      <c r="F37" s="36"/>
      <c r="G37" s="71">
        <v>9.42</v>
      </c>
      <c r="H37" s="55">
        <v>400</v>
      </c>
      <c r="I37" s="71">
        <v>3776.02</v>
      </c>
      <c r="J37" s="35"/>
      <c r="K37" s="80"/>
      <c r="L37" s="229"/>
      <c r="M37" s="41"/>
    </row>
    <row r="38" spans="1:13" x14ac:dyDescent="0.3">
      <c r="A38" s="45"/>
      <c r="B38" s="295" t="s">
        <v>100</v>
      </c>
      <c r="C38" s="78"/>
      <c r="D38" s="36"/>
      <c r="E38" s="80" t="s">
        <v>108</v>
      </c>
      <c r="F38" s="36"/>
      <c r="G38" s="71">
        <v>0.03</v>
      </c>
      <c r="H38" s="55"/>
      <c r="I38" s="71">
        <v>330</v>
      </c>
      <c r="J38" s="35"/>
      <c r="L38" s="93"/>
      <c r="M38" s="41"/>
    </row>
    <row r="39" spans="1:13" x14ac:dyDescent="0.3">
      <c r="A39" s="45"/>
      <c r="B39" s="295"/>
      <c r="C39" s="35"/>
      <c r="D39" s="36"/>
      <c r="E39" s="80" t="s">
        <v>107</v>
      </c>
      <c r="F39" s="36"/>
      <c r="G39" s="190">
        <f>AVERAGE(G33:G37)</f>
        <v>9.5839999999999996</v>
      </c>
      <c r="H39" s="201">
        <f>SUM(H33:H37)</f>
        <v>1100</v>
      </c>
      <c r="I39" s="190">
        <f>SUM(I33:I37)</f>
        <v>10521.58</v>
      </c>
      <c r="J39" s="35"/>
      <c r="L39" s="93"/>
      <c r="M39" s="41"/>
    </row>
    <row r="40" spans="1:13" x14ac:dyDescent="0.3">
      <c r="A40" s="45"/>
      <c r="B40" s="316">
        <v>45758</v>
      </c>
      <c r="C40" s="317" t="s">
        <v>110</v>
      </c>
      <c r="D40" s="47" t="s">
        <v>83</v>
      </c>
      <c r="E40" s="48" t="s">
        <v>86</v>
      </c>
      <c r="F40" s="47"/>
      <c r="G40" s="318">
        <v>9.98</v>
      </c>
      <c r="H40" s="319">
        <v>1100</v>
      </c>
      <c r="I40" s="318">
        <v>10952.72</v>
      </c>
      <c r="J40" s="302">
        <f>I40-I39</f>
        <v>431.13999999999942</v>
      </c>
      <c r="K40" s="245">
        <v>45962</v>
      </c>
      <c r="L40" s="246"/>
      <c r="M40" s="41"/>
    </row>
    <row r="41" spans="1:13" x14ac:dyDescent="0.3">
      <c r="A41" s="45"/>
      <c r="B41" s="332" t="s">
        <v>94</v>
      </c>
      <c r="C41" s="153" t="s">
        <v>38</v>
      </c>
      <c r="D41" s="153" t="s">
        <v>95</v>
      </c>
      <c r="E41" s="333" t="s">
        <v>96</v>
      </c>
      <c r="F41" s="254"/>
      <c r="G41" s="225">
        <v>13.2</v>
      </c>
      <c r="H41" s="155">
        <v>151</v>
      </c>
      <c r="I41" s="225">
        <v>1993.1999999999998</v>
      </c>
      <c r="J41" s="310"/>
      <c r="K41" s="154"/>
      <c r="L41" s="227"/>
      <c r="M41" s="41"/>
    </row>
    <row r="42" spans="1:13" x14ac:dyDescent="0.3">
      <c r="A42" s="45"/>
      <c r="B42" s="294">
        <v>45816</v>
      </c>
      <c r="C42" s="36" t="s">
        <v>38</v>
      </c>
      <c r="D42" s="36" t="s">
        <v>95</v>
      </c>
      <c r="E42" s="39" t="s">
        <v>96</v>
      </c>
      <c r="F42" s="37"/>
      <c r="G42" s="71">
        <v>12.491199999999999</v>
      </c>
      <c r="H42" s="55">
        <v>80</v>
      </c>
      <c r="I42" s="71">
        <f t="shared" ref="I42:I44" si="0">G42*H42</f>
        <v>999.29599999999994</v>
      </c>
      <c r="J42" s="35"/>
      <c r="K42" s="80"/>
      <c r="L42" s="229"/>
      <c r="M42" s="41"/>
    </row>
    <row r="43" spans="1:13" x14ac:dyDescent="0.3">
      <c r="A43" s="40"/>
      <c r="B43" s="295" t="s">
        <v>97</v>
      </c>
      <c r="C43" s="36" t="s">
        <v>38</v>
      </c>
      <c r="D43" s="36" t="s">
        <v>95</v>
      </c>
      <c r="E43" s="80" t="s">
        <v>96</v>
      </c>
      <c r="F43" s="36"/>
      <c r="G43" s="71">
        <v>12</v>
      </c>
      <c r="H43" s="55">
        <v>83</v>
      </c>
      <c r="I43" s="71">
        <f t="shared" si="0"/>
        <v>996</v>
      </c>
      <c r="J43" s="35"/>
      <c r="K43" s="80"/>
      <c r="L43" s="229"/>
      <c r="M43" s="41"/>
    </row>
    <row r="44" spans="1:13" x14ac:dyDescent="0.3">
      <c r="A44" s="40"/>
      <c r="B44" s="295" t="s">
        <v>100</v>
      </c>
      <c r="C44" s="36" t="s">
        <v>38</v>
      </c>
      <c r="D44" s="36" t="s">
        <v>95</v>
      </c>
      <c r="E44" s="80" t="s">
        <v>96</v>
      </c>
      <c r="F44" s="36"/>
      <c r="G44" s="71">
        <v>11.85</v>
      </c>
      <c r="H44" s="55">
        <v>85</v>
      </c>
      <c r="I44" s="71">
        <f t="shared" si="0"/>
        <v>1007.25</v>
      </c>
      <c r="J44" s="35"/>
      <c r="K44" s="80"/>
      <c r="L44" s="229"/>
      <c r="M44" s="41"/>
    </row>
    <row r="45" spans="1:13" x14ac:dyDescent="0.3">
      <c r="A45" s="40"/>
      <c r="B45" s="295" t="s">
        <v>106</v>
      </c>
      <c r="C45" s="36" t="s">
        <v>38</v>
      </c>
      <c r="D45" s="36" t="s">
        <v>95</v>
      </c>
      <c r="E45" s="80" t="s">
        <v>96</v>
      </c>
      <c r="F45" s="36"/>
      <c r="G45" s="71">
        <v>10.44</v>
      </c>
      <c r="H45" s="55">
        <v>144</v>
      </c>
      <c r="I45" s="71">
        <f t="shared" ref="I45:I50" si="1">G45*H45</f>
        <v>1503.36</v>
      </c>
      <c r="J45" s="35"/>
      <c r="K45" s="80"/>
      <c r="L45" s="229"/>
      <c r="M45" s="41"/>
    </row>
    <row r="46" spans="1:13" x14ac:dyDescent="0.3">
      <c r="A46" s="40"/>
      <c r="B46" s="294">
        <v>45727</v>
      </c>
      <c r="C46" s="36" t="s">
        <v>38</v>
      </c>
      <c r="D46" s="36" t="s">
        <v>95</v>
      </c>
      <c r="E46" s="80" t="s">
        <v>96</v>
      </c>
      <c r="F46" s="36"/>
      <c r="G46" s="71">
        <v>10.102</v>
      </c>
      <c r="H46" s="55">
        <v>198</v>
      </c>
      <c r="I46" s="71">
        <f t="shared" si="1"/>
        <v>2000.1960000000001</v>
      </c>
      <c r="J46" s="35"/>
      <c r="K46" s="80"/>
      <c r="L46" s="229"/>
      <c r="M46" s="41"/>
    </row>
    <row r="47" spans="1:13" x14ac:dyDescent="0.3">
      <c r="A47" s="40"/>
      <c r="B47" s="294">
        <v>45758</v>
      </c>
      <c r="C47" s="36" t="s">
        <v>38</v>
      </c>
      <c r="D47" s="36" t="s">
        <v>95</v>
      </c>
      <c r="E47" s="80" t="s">
        <v>96</v>
      </c>
      <c r="F47" s="36"/>
      <c r="G47" s="71">
        <v>9.5</v>
      </c>
      <c r="H47" s="55">
        <v>105</v>
      </c>
      <c r="I47" s="71">
        <f t="shared" si="1"/>
        <v>997.5</v>
      </c>
      <c r="J47" s="35"/>
      <c r="K47" s="80"/>
      <c r="L47" s="229"/>
      <c r="M47" s="41"/>
    </row>
    <row r="48" spans="1:13" x14ac:dyDescent="0.3">
      <c r="A48" s="40"/>
      <c r="B48" s="294" t="s">
        <v>111</v>
      </c>
      <c r="C48" s="36" t="s">
        <v>38</v>
      </c>
      <c r="D48" s="36" t="s">
        <v>95</v>
      </c>
      <c r="E48" s="80" t="s">
        <v>96</v>
      </c>
      <c r="F48" s="36"/>
      <c r="G48" s="71">
        <v>9.1</v>
      </c>
      <c r="H48" s="55">
        <v>220</v>
      </c>
      <c r="I48" s="71">
        <f t="shared" si="1"/>
        <v>2002</v>
      </c>
      <c r="J48" s="35"/>
      <c r="K48" s="80"/>
      <c r="L48" s="229"/>
      <c r="M48" s="41"/>
    </row>
    <row r="49" spans="1:13" x14ac:dyDescent="0.3">
      <c r="A49" s="40"/>
      <c r="B49" s="294" t="s">
        <v>125</v>
      </c>
      <c r="C49" s="36" t="s">
        <v>38</v>
      </c>
      <c r="D49" s="36" t="s">
        <v>95</v>
      </c>
      <c r="E49" s="80" t="s">
        <v>96</v>
      </c>
      <c r="F49" s="36"/>
      <c r="G49" s="71">
        <v>7.65</v>
      </c>
      <c r="H49" s="55">
        <f>44+240+108</f>
        <v>392</v>
      </c>
      <c r="I49" s="71">
        <f t="shared" si="1"/>
        <v>2998.8</v>
      </c>
      <c r="J49" s="35"/>
      <c r="K49" s="80"/>
      <c r="L49" s="229"/>
      <c r="M49" s="41"/>
    </row>
    <row r="50" spans="1:13" x14ac:dyDescent="0.3">
      <c r="A50" s="40"/>
      <c r="B50" s="174">
        <v>46144</v>
      </c>
      <c r="C50" s="159" t="s">
        <v>110</v>
      </c>
      <c r="D50" s="159" t="s">
        <v>95</v>
      </c>
      <c r="E50" s="160" t="s">
        <v>96</v>
      </c>
      <c r="F50" s="159"/>
      <c r="G50" s="238">
        <v>5.3878000000000004</v>
      </c>
      <c r="H50" s="162">
        <f>93+240+37+720+73+284</f>
        <v>1447</v>
      </c>
      <c r="I50" s="238">
        <f t="shared" si="1"/>
        <v>7796.1466000000009</v>
      </c>
      <c r="J50" s="337">
        <f>I41+I42+I43+I44+I45+I46+I47+I48+I49-I50</f>
        <v>6701.455399999998</v>
      </c>
      <c r="K50" s="339">
        <v>46079</v>
      </c>
      <c r="L50" s="338"/>
      <c r="M50" s="41"/>
    </row>
    <row r="51" spans="1:13" x14ac:dyDescent="0.3">
      <c r="A51" s="40"/>
      <c r="B51" s="171" t="s">
        <v>115</v>
      </c>
      <c r="C51" s="176" t="s">
        <v>38</v>
      </c>
      <c r="D51" s="176" t="s">
        <v>119</v>
      </c>
      <c r="E51" s="334" t="s">
        <v>120</v>
      </c>
      <c r="F51" s="176"/>
      <c r="G51" s="335"/>
      <c r="H51" s="178"/>
      <c r="I51" s="336">
        <v>10000</v>
      </c>
      <c r="J51" s="67"/>
      <c r="K51" s="67"/>
      <c r="L51" s="121"/>
      <c r="M51" s="41"/>
    </row>
    <row r="52" spans="1:13" x14ac:dyDescent="0.3">
      <c r="A52" s="40"/>
      <c r="B52" s="116">
        <v>45759</v>
      </c>
      <c r="C52" s="63" t="s">
        <v>110</v>
      </c>
      <c r="D52" s="212" t="s">
        <v>119</v>
      </c>
      <c r="E52" s="311" t="s">
        <v>120</v>
      </c>
      <c r="F52" s="212"/>
      <c r="G52" s="312"/>
      <c r="H52" s="313"/>
      <c r="I52" s="314">
        <v>10009.67</v>
      </c>
      <c r="J52" s="315">
        <f>I52-I51</f>
        <v>9.6700000000000728</v>
      </c>
      <c r="K52" s="240">
        <v>45992</v>
      </c>
      <c r="L52" s="241"/>
      <c r="M52" s="41"/>
    </row>
    <row r="53" spans="1:13" x14ac:dyDescent="0.3">
      <c r="A53" s="40"/>
      <c r="B53" s="305" t="s">
        <v>126</v>
      </c>
      <c r="C53" s="50" t="s">
        <v>38</v>
      </c>
      <c r="D53" s="50" t="s">
        <v>127</v>
      </c>
      <c r="E53" s="51" t="s">
        <v>128</v>
      </c>
      <c r="F53" s="50" t="s">
        <v>136</v>
      </c>
      <c r="G53" s="177">
        <v>183.03569999999999</v>
      </c>
      <c r="H53" s="54">
        <v>10.9268</v>
      </c>
      <c r="I53" s="306">
        <v>2000.35</v>
      </c>
      <c r="J53" s="306"/>
      <c r="K53" s="307"/>
      <c r="L53" s="308"/>
      <c r="M53" s="41"/>
    </row>
    <row r="54" spans="1:13" x14ac:dyDescent="0.3">
      <c r="A54" s="40"/>
      <c r="B54" s="294">
        <v>46266</v>
      </c>
      <c r="C54" s="36" t="s">
        <v>110</v>
      </c>
      <c r="D54" s="36" t="s">
        <v>127</v>
      </c>
      <c r="E54" s="80" t="s">
        <v>128</v>
      </c>
      <c r="F54" s="36" t="s">
        <v>136</v>
      </c>
      <c r="G54" s="164">
        <v>184.83170000000001</v>
      </c>
      <c r="H54" s="55">
        <v>5</v>
      </c>
      <c r="I54" s="202">
        <f>924.16-0.35</f>
        <v>923.81</v>
      </c>
      <c r="J54" s="202"/>
      <c r="K54" s="35"/>
      <c r="L54" s="163"/>
      <c r="M54" s="41"/>
    </row>
    <row r="55" spans="1:13" x14ac:dyDescent="0.3">
      <c r="A55" s="40"/>
      <c r="B55" s="158" t="s">
        <v>140</v>
      </c>
      <c r="C55" s="159" t="s">
        <v>110</v>
      </c>
      <c r="D55" s="159" t="s">
        <v>127</v>
      </c>
      <c r="E55" s="160" t="s">
        <v>128</v>
      </c>
      <c r="F55" s="159" t="s">
        <v>136</v>
      </c>
      <c r="G55" s="161">
        <v>184.9342</v>
      </c>
      <c r="H55" s="162">
        <v>5.9268000000000001</v>
      </c>
      <c r="I55" s="167">
        <f>1096.07-0.35</f>
        <v>1095.72</v>
      </c>
      <c r="J55" s="169">
        <f>I55+I54-I53</f>
        <v>19.180000000000064</v>
      </c>
      <c r="K55" s="240">
        <v>46023</v>
      </c>
      <c r="L55" s="241" t="s">
        <v>147</v>
      </c>
      <c r="M55" s="41"/>
    </row>
    <row r="56" spans="1:13" x14ac:dyDescent="0.3">
      <c r="A56" s="40"/>
      <c r="B56" s="320">
        <v>46023</v>
      </c>
      <c r="C56" s="247" t="s">
        <v>38</v>
      </c>
      <c r="D56" s="247" t="s">
        <v>127</v>
      </c>
      <c r="E56" s="269" t="s">
        <v>143</v>
      </c>
      <c r="F56" s="247" t="s">
        <v>145</v>
      </c>
      <c r="G56" s="321">
        <v>12.3</v>
      </c>
      <c r="H56" s="251">
        <v>40</v>
      </c>
      <c r="I56" s="322">
        <f>492+5.02</f>
        <v>497.02</v>
      </c>
      <c r="J56" s="322"/>
      <c r="K56" s="323"/>
      <c r="L56" s="324"/>
      <c r="M56" s="41"/>
    </row>
    <row r="57" spans="1:13" x14ac:dyDescent="0.3">
      <c r="A57" s="40"/>
      <c r="B57" s="272" t="s">
        <v>144</v>
      </c>
      <c r="C57" s="192" t="s">
        <v>38</v>
      </c>
      <c r="D57" s="192" t="s">
        <v>127</v>
      </c>
      <c r="E57" s="199" t="s">
        <v>143</v>
      </c>
      <c r="F57" s="192" t="s">
        <v>145</v>
      </c>
      <c r="G57" s="203">
        <v>15.95</v>
      </c>
      <c r="H57" s="196">
        <v>50</v>
      </c>
      <c r="I57" s="204">
        <f>797.5+5.03</f>
        <v>802.53</v>
      </c>
      <c r="J57" s="204"/>
      <c r="K57" s="200"/>
      <c r="L57" s="293"/>
      <c r="M57" s="41"/>
    </row>
    <row r="58" spans="1:13" x14ac:dyDescent="0.3">
      <c r="A58" s="40"/>
      <c r="B58" s="272" t="s">
        <v>144</v>
      </c>
      <c r="C58" s="192" t="s">
        <v>38</v>
      </c>
      <c r="D58" s="192" t="s">
        <v>127</v>
      </c>
      <c r="E58" s="199" t="s">
        <v>143</v>
      </c>
      <c r="F58" s="192" t="s">
        <v>145</v>
      </c>
      <c r="G58" s="203">
        <v>16.149999999999999</v>
      </c>
      <c r="H58" s="196">
        <v>25</v>
      </c>
      <c r="I58" s="204">
        <f>403.75+5.02</f>
        <v>408.77</v>
      </c>
      <c r="J58" s="204"/>
      <c r="K58" s="200"/>
      <c r="L58" s="293"/>
      <c r="M58" s="41"/>
    </row>
    <row r="59" spans="1:13" x14ac:dyDescent="0.3">
      <c r="A59" s="40"/>
      <c r="B59" s="297" t="s">
        <v>152</v>
      </c>
      <c r="C59" s="298" t="s">
        <v>110</v>
      </c>
      <c r="D59" s="298" t="s">
        <v>127</v>
      </c>
      <c r="E59" s="325" t="s">
        <v>143</v>
      </c>
      <c r="F59" s="298" t="s">
        <v>145</v>
      </c>
      <c r="G59" s="326">
        <v>16.05</v>
      </c>
      <c r="H59" s="301">
        <v>115</v>
      </c>
      <c r="I59" s="327">
        <f>1845.75-5.08</f>
        <v>1840.67</v>
      </c>
      <c r="J59" s="328">
        <f>I59-I58-I57-I56</f>
        <v>132.35000000000014</v>
      </c>
      <c r="K59" s="303">
        <v>46048</v>
      </c>
      <c r="L59" s="304" t="s">
        <v>147</v>
      </c>
      <c r="M59" s="41"/>
    </row>
    <row r="60" spans="1:13" x14ac:dyDescent="0.3">
      <c r="A60" s="40"/>
      <c r="B60" s="173">
        <v>46266</v>
      </c>
      <c r="C60" s="153" t="s">
        <v>38</v>
      </c>
      <c r="D60" s="153" t="s">
        <v>127</v>
      </c>
      <c r="E60" s="154" t="s">
        <v>137</v>
      </c>
      <c r="F60" s="153" t="s">
        <v>138</v>
      </c>
      <c r="G60" s="156">
        <v>1892.5</v>
      </c>
      <c r="H60" s="155">
        <v>0.27</v>
      </c>
      <c r="I60" s="166">
        <v>512.22</v>
      </c>
      <c r="J60" s="166"/>
      <c r="K60" s="310"/>
      <c r="L60" s="157"/>
      <c r="M60" s="41"/>
    </row>
    <row r="61" spans="1:13" x14ac:dyDescent="0.3">
      <c r="A61" s="40"/>
      <c r="B61" s="294">
        <v>46266</v>
      </c>
      <c r="C61" s="36" t="s">
        <v>38</v>
      </c>
      <c r="D61" s="36" t="s">
        <v>127</v>
      </c>
      <c r="E61" s="80" t="s">
        <v>137</v>
      </c>
      <c r="F61" s="36" t="s">
        <v>138</v>
      </c>
      <c r="G61" s="164">
        <v>1893</v>
      </c>
      <c r="H61" s="55">
        <v>0.23</v>
      </c>
      <c r="I61" s="202">
        <v>436.64</v>
      </c>
      <c r="J61" s="202"/>
      <c r="K61" s="35"/>
      <c r="L61" s="163"/>
      <c r="M61" s="41"/>
    </row>
    <row r="62" spans="1:13" x14ac:dyDescent="0.3">
      <c r="A62" s="40"/>
      <c r="B62" s="174">
        <v>46144</v>
      </c>
      <c r="C62" s="159" t="s">
        <v>110</v>
      </c>
      <c r="D62" s="159" t="s">
        <v>127</v>
      </c>
      <c r="E62" s="160" t="s">
        <v>137</v>
      </c>
      <c r="F62" s="159" t="s">
        <v>138</v>
      </c>
      <c r="G62" s="161">
        <v>1561.5</v>
      </c>
      <c r="H62" s="162">
        <v>0.5</v>
      </c>
      <c r="I62" s="167">
        <f>780.75-1.25-169.36</f>
        <v>610.14</v>
      </c>
      <c r="J62" s="175">
        <f>I60+I61-I62</f>
        <v>338.72</v>
      </c>
      <c r="K62" s="285">
        <v>46079</v>
      </c>
      <c r="L62" s="330" t="s">
        <v>153</v>
      </c>
      <c r="M62" s="41"/>
    </row>
    <row r="63" spans="1:13" x14ac:dyDescent="0.3">
      <c r="A63" s="40"/>
      <c r="B63" s="329">
        <v>46266</v>
      </c>
      <c r="C63" s="50" t="s">
        <v>38</v>
      </c>
      <c r="D63" s="50" t="s">
        <v>127</v>
      </c>
      <c r="E63" s="51" t="s">
        <v>139</v>
      </c>
      <c r="F63" s="50" t="s">
        <v>136</v>
      </c>
      <c r="G63" s="177">
        <v>356.54</v>
      </c>
      <c r="H63" s="54">
        <v>0.9</v>
      </c>
      <c r="I63" s="306">
        <v>321.24</v>
      </c>
      <c r="J63" s="306"/>
      <c r="K63" s="51"/>
      <c r="L63" s="308"/>
      <c r="M63" s="41"/>
    </row>
    <row r="64" spans="1:13" x14ac:dyDescent="0.3">
      <c r="A64" s="40"/>
      <c r="B64" s="294">
        <v>46266</v>
      </c>
      <c r="C64" s="36" t="s">
        <v>38</v>
      </c>
      <c r="D64" s="36" t="s">
        <v>127</v>
      </c>
      <c r="E64" s="80" t="s">
        <v>139</v>
      </c>
      <c r="F64" s="36" t="s">
        <v>136</v>
      </c>
      <c r="G64" s="164">
        <v>363.5455</v>
      </c>
      <c r="H64" s="55">
        <v>1.1000000000000001</v>
      </c>
      <c r="I64" s="202">
        <v>400.25</v>
      </c>
      <c r="J64" s="202"/>
      <c r="K64" s="80"/>
      <c r="L64" s="163"/>
      <c r="M64" s="41"/>
    </row>
    <row r="65" spans="1:13" x14ac:dyDescent="0.3">
      <c r="A65" s="40"/>
      <c r="B65" s="294" t="s">
        <v>146</v>
      </c>
      <c r="C65" s="36" t="s">
        <v>38</v>
      </c>
      <c r="D65" s="36" t="s">
        <v>127</v>
      </c>
      <c r="E65" s="80" t="s">
        <v>139</v>
      </c>
      <c r="F65" s="36" t="s">
        <v>136</v>
      </c>
      <c r="G65" s="164">
        <v>377.82490000000001</v>
      </c>
      <c r="H65" s="55">
        <v>0.8337</v>
      </c>
      <c r="I65" s="202">
        <v>315.33999999999997</v>
      </c>
      <c r="J65" s="202"/>
      <c r="K65" s="80"/>
      <c r="L65" s="163"/>
      <c r="M65" s="41"/>
    </row>
    <row r="66" spans="1:13" x14ac:dyDescent="0.3">
      <c r="A66" s="40"/>
      <c r="B66" s="294" t="s">
        <v>148</v>
      </c>
      <c r="C66" s="36" t="s">
        <v>38</v>
      </c>
      <c r="D66" s="36" t="s">
        <v>127</v>
      </c>
      <c r="E66" s="80" t="s">
        <v>139</v>
      </c>
      <c r="F66" s="36" t="s">
        <v>136</v>
      </c>
      <c r="G66" s="164">
        <v>309.95119999999997</v>
      </c>
      <c r="H66" s="55">
        <v>0.90329999999999999</v>
      </c>
      <c r="I66" s="202">
        <v>280.33</v>
      </c>
      <c r="J66" s="202"/>
      <c r="K66" s="80"/>
      <c r="L66" s="163"/>
      <c r="M66" s="41"/>
    </row>
    <row r="67" spans="1:13" x14ac:dyDescent="0.3">
      <c r="A67" s="40"/>
      <c r="B67" s="294" t="s">
        <v>149</v>
      </c>
      <c r="C67" s="36" t="s">
        <v>110</v>
      </c>
      <c r="D67" s="36" t="s">
        <v>127</v>
      </c>
      <c r="E67" s="80" t="s">
        <v>139</v>
      </c>
      <c r="F67" s="36" t="s">
        <v>136</v>
      </c>
      <c r="G67" s="164">
        <v>301.74</v>
      </c>
      <c r="H67" s="55">
        <v>0.69</v>
      </c>
      <c r="I67" s="202">
        <f>208.2-0.35-38.43</f>
        <v>169.42</v>
      </c>
      <c r="J67" s="202"/>
      <c r="K67" s="80"/>
      <c r="L67" s="163"/>
      <c r="M67" s="41"/>
    </row>
    <row r="68" spans="1:13" x14ac:dyDescent="0.3">
      <c r="A68" s="40"/>
      <c r="B68" s="294" t="s">
        <v>154</v>
      </c>
      <c r="C68" s="36" t="s">
        <v>38</v>
      </c>
      <c r="D68" s="36" t="s">
        <v>127</v>
      </c>
      <c r="E68" s="80" t="s">
        <v>139</v>
      </c>
      <c r="F68" s="36" t="s">
        <v>136</v>
      </c>
      <c r="G68" s="164">
        <v>301.8931</v>
      </c>
      <c r="H68" s="55">
        <v>1.6561999999999999</v>
      </c>
      <c r="I68" s="202">
        <v>500.34</v>
      </c>
      <c r="J68" s="202"/>
      <c r="K68" s="80"/>
      <c r="L68" s="163"/>
      <c r="M68" s="41"/>
    </row>
    <row r="69" spans="1:13" x14ac:dyDescent="0.3">
      <c r="A69" s="40"/>
      <c r="B69" s="174">
        <v>46144</v>
      </c>
      <c r="C69" s="159" t="s">
        <v>110</v>
      </c>
      <c r="D69" s="159" t="s">
        <v>127</v>
      </c>
      <c r="E69" s="160" t="s">
        <v>139</v>
      </c>
      <c r="F69" s="159" t="s">
        <v>136</v>
      </c>
      <c r="G69" s="161">
        <v>252.3852</v>
      </c>
      <c r="H69" s="162">
        <v>4.7031999999999998</v>
      </c>
      <c r="I69" s="167">
        <f>1187.02-0.35-384.55</f>
        <v>802.12000000000012</v>
      </c>
      <c r="J69" s="175">
        <f>I63+I64+I65+I66+I68-I67-I69</f>
        <v>845.95999999999958</v>
      </c>
      <c r="K69" s="285">
        <v>46079</v>
      </c>
      <c r="L69" s="330" t="s">
        <v>153</v>
      </c>
      <c r="M69" s="41"/>
    </row>
    <row r="70" spans="1:13" x14ac:dyDescent="0.3">
      <c r="A70" s="40"/>
      <c r="B70" s="329" t="s">
        <v>140</v>
      </c>
      <c r="C70" s="50" t="s">
        <v>38</v>
      </c>
      <c r="D70" s="50" t="s">
        <v>127</v>
      </c>
      <c r="E70" s="51" t="s">
        <v>141</v>
      </c>
      <c r="F70" s="50" t="s">
        <v>136</v>
      </c>
      <c r="G70" s="177">
        <v>109.83</v>
      </c>
      <c r="H70" s="54">
        <v>6</v>
      </c>
      <c r="I70" s="306">
        <v>659.33</v>
      </c>
      <c r="J70" s="306"/>
      <c r="K70" s="51"/>
      <c r="L70" s="308"/>
      <c r="M70" s="41"/>
    </row>
    <row r="71" spans="1:13" x14ac:dyDescent="0.3">
      <c r="A71" s="40"/>
      <c r="B71" s="158" t="s">
        <v>152</v>
      </c>
      <c r="C71" s="159" t="s">
        <v>110</v>
      </c>
      <c r="D71" s="159" t="s">
        <v>127</v>
      </c>
      <c r="E71" s="160" t="s">
        <v>141</v>
      </c>
      <c r="F71" s="159" t="s">
        <v>136</v>
      </c>
      <c r="G71" s="161">
        <v>123</v>
      </c>
      <c r="H71" s="162">
        <v>6</v>
      </c>
      <c r="I71" s="167">
        <f>738-0.33+78.34</f>
        <v>816.01</v>
      </c>
      <c r="J71" s="169">
        <f>I71-I70</f>
        <v>156.67999999999995</v>
      </c>
      <c r="K71" s="285">
        <v>46048</v>
      </c>
      <c r="L71" s="296" t="s">
        <v>147</v>
      </c>
      <c r="M71" s="41"/>
    </row>
    <row r="72" spans="1:13" x14ac:dyDescent="0.3">
      <c r="B72" s="76"/>
      <c r="C72" s="176"/>
      <c r="D72" s="176"/>
      <c r="E72" s="176"/>
      <c r="F72" s="176"/>
      <c r="G72" s="177"/>
      <c r="H72" s="178"/>
      <c r="I72" s="179"/>
      <c r="J72" s="179"/>
      <c r="K72" s="67"/>
      <c r="L72" s="67"/>
    </row>
    <row r="73" spans="1:13" x14ac:dyDescent="0.3">
      <c r="C73" s="34"/>
      <c r="G73" s="164"/>
      <c r="I73" s="168"/>
      <c r="J73" s="168"/>
    </row>
    <row r="74" spans="1:13" x14ac:dyDescent="0.3">
      <c r="C74" s="34"/>
      <c r="G74" s="164"/>
      <c r="I74" s="168"/>
      <c r="J74" s="168"/>
    </row>
    <row r="75" spans="1:13" x14ac:dyDescent="0.3">
      <c r="C75" s="34"/>
      <c r="G75" s="164"/>
      <c r="I75" s="168"/>
      <c r="J75" s="168"/>
    </row>
    <row r="76" spans="1:13" x14ac:dyDescent="0.3">
      <c r="C76" s="34"/>
      <c r="G76" s="164"/>
      <c r="I76" s="168"/>
      <c r="J76" s="168"/>
    </row>
    <row r="77" spans="1:13" x14ac:dyDescent="0.3">
      <c r="C77" s="34"/>
      <c r="G77" s="164"/>
      <c r="I77" s="168"/>
      <c r="J77" s="168"/>
    </row>
    <row r="78" spans="1:13" x14ac:dyDescent="0.3">
      <c r="C78" s="34"/>
      <c r="G78" s="164"/>
      <c r="I78" s="168"/>
      <c r="J78" s="168"/>
    </row>
    <row r="79" spans="1:13" x14ac:dyDescent="0.3">
      <c r="C79" s="34"/>
      <c r="G79" s="164"/>
      <c r="I79" s="168"/>
      <c r="J79" s="168"/>
    </row>
    <row r="80" spans="1:13" x14ac:dyDescent="0.3">
      <c r="C80" s="34"/>
      <c r="G80" s="164"/>
      <c r="I80" s="168"/>
      <c r="J80" s="168"/>
    </row>
    <row r="81" spans="3:10" x14ac:dyDescent="0.3">
      <c r="C81" s="34"/>
      <c r="G81" s="165"/>
      <c r="I81" s="168"/>
      <c r="J81" s="168"/>
    </row>
    <row r="82" spans="3:10" x14ac:dyDescent="0.3">
      <c r="G82" s="165"/>
      <c r="I82" s="168"/>
      <c r="J82" s="168"/>
    </row>
    <row r="83" spans="3:10" x14ac:dyDescent="0.3">
      <c r="G83" s="165"/>
      <c r="I83" s="168"/>
      <c r="J83" s="168"/>
    </row>
    <row r="84" spans="3:10" x14ac:dyDescent="0.3">
      <c r="G84" s="165"/>
      <c r="I84" s="168"/>
      <c r="J84" s="168"/>
    </row>
    <row r="85" spans="3:10" x14ac:dyDescent="0.3">
      <c r="G85" s="165"/>
      <c r="I85" s="168"/>
      <c r="J85" s="168"/>
    </row>
    <row r="86" spans="3:10" x14ac:dyDescent="0.3">
      <c r="G86" s="165"/>
      <c r="I86" s="168"/>
      <c r="J86" s="168"/>
    </row>
    <row r="87" spans="3:10" x14ac:dyDescent="0.3">
      <c r="G87" s="165"/>
      <c r="J87" s="168"/>
    </row>
    <row r="88" spans="3:10" x14ac:dyDescent="0.3">
      <c r="G88" s="165"/>
      <c r="J88" s="168"/>
    </row>
    <row r="89" spans="3:10" x14ac:dyDescent="0.3">
      <c r="J89" s="16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3A601-E822-42D4-8520-CC577C26B885}">
  <dimension ref="A1:K26"/>
  <sheetViews>
    <sheetView zoomScale="85" zoomScaleNormal="85" workbookViewId="0">
      <selection activeCell="D15" sqref="D15"/>
    </sheetView>
  </sheetViews>
  <sheetFormatPr defaultRowHeight="14.4" x14ac:dyDescent="0.3"/>
  <cols>
    <col min="1" max="1" width="8.88671875" style="33"/>
    <col min="2" max="2" width="12.109375" style="77" customWidth="1"/>
    <col min="3" max="4" width="15.77734375" style="58" customWidth="1"/>
    <col min="5" max="5" width="15.77734375" style="83" customWidth="1"/>
    <col min="6" max="6" width="12.77734375" style="58" customWidth="1"/>
    <col min="7" max="7" width="12.77734375" style="33" bestFit="1" customWidth="1"/>
    <col min="8" max="8" width="44.33203125" style="33" customWidth="1"/>
    <col min="9" max="10" width="8.88671875" style="33"/>
    <col min="11" max="11" width="10.6640625" style="33" bestFit="1" customWidth="1"/>
    <col min="12" max="16384" width="8.88671875" style="33"/>
  </cols>
  <sheetData>
    <row r="1" spans="1:9" ht="63" x14ac:dyDescent="1.2">
      <c r="A1" s="105" t="s">
        <v>116</v>
      </c>
    </row>
    <row r="2" spans="1:9" x14ac:dyDescent="0.3">
      <c r="B2" s="33"/>
    </row>
    <row r="3" spans="1:9" x14ac:dyDescent="0.3">
      <c r="B3" s="42" t="s">
        <v>20</v>
      </c>
      <c r="C3" s="81"/>
      <c r="D3" s="81"/>
      <c r="E3" s="84"/>
      <c r="F3" s="81"/>
      <c r="G3" s="44"/>
      <c r="H3" s="44"/>
    </row>
    <row r="4" spans="1:9" x14ac:dyDescent="0.3">
      <c r="A4" s="40"/>
      <c r="B4" s="87" t="s">
        <v>6</v>
      </c>
      <c r="C4" s="88" t="s">
        <v>38</v>
      </c>
      <c r="D4" s="88" t="s">
        <v>114</v>
      </c>
      <c r="E4" s="89" t="s">
        <v>112</v>
      </c>
      <c r="F4" s="119" t="s">
        <v>124</v>
      </c>
      <c r="G4" s="90" t="s">
        <v>63</v>
      </c>
      <c r="H4" s="91" t="s">
        <v>37</v>
      </c>
      <c r="I4" s="41"/>
    </row>
    <row r="5" spans="1:9" x14ac:dyDescent="0.3">
      <c r="A5" s="40"/>
      <c r="B5" s="99" t="s">
        <v>105</v>
      </c>
      <c r="C5" s="100">
        <v>500</v>
      </c>
      <c r="D5" s="100"/>
      <c r="E5" s="101">
        <v>117.53</v>
      </c>
      <c r="F5" s="100">
        <v>500</v>
      </c>
      <c r="G5" s="102"/>
      <c r="H5" s="103"/>
      <c r="I5" s="41"/>
    </row>
    <row r="6" spans="1:9" x14ac:dyDescent="0.3">
      <c r="A6" s="40"/>
      <c r="B6" s="94" t="s">
        <v>113</v>
      </c>
      <c r="C6" s="120">
        <v>240</v>
      </c>
      <c r="D6" s="120"/>
      <c r="E6" s="96">
        <v>56.47</v>
      </c>
      <c r="F6" s="120">
        <v>240</v>
      </c>
      <c r="G6" s="97"/>
      <c r="H6" s="98"/>
      <c r="I6" s="41"/>
    </row>
    <row r="7" spans="1:9" x14ac:dyDescent="0.3">
      <c r="A7" s="40"/>
      <c r="B7" s="122">
        <v>46002</v>
      </c>
      <c r="C7" s="123">
        <v>5000</v>
      </c>
      <c r="D7" s="123"/>
      <c r="E7" s="124">
        <v>842.12</v>
      </c>
      <c r="F7" s="100">
        <v>3500</v>
      </c>
      <c r="G7" s="125"/>
      <c r="H7" s="126"/>
      <c r="I7" s="41"/>
    </row>
    <row r="8" spans="1:9" x14ac:dyDescent="0.3">
      <c r="A8" s="40"/>
      <c r="B8" s="116" t="s">
        <v>115</v>
      </c>
      <c r="C8" s="127"/>
      <c r="D8" s="127"/>
      <c r="E8" s="96">
        <v>360.6</v>
      </c>
      <c r="F8" s="120">
        <v>1500</v>
      </c>
      <c r="G8" s="128"/>
      <c r="H8" s="129"/>
      <c r="I8" s="41"/>
    </row>
    <row r="9" spans="1:9" x14ac:dyDescent="0.3">
      <c r="A9" s="40"/>
      <c r="B9" s="99">
        <v>45881</v>
      </c>
      <c r="C9" s="172">
        <v>10009.67</v>
      </c>
      <c r="D9" s="172"/>
      <c r="E9" s="101">
        <v>845.8</v>
      </c>
      <c r="F9" s="172">
        <v>3500</v>
      </c>
      <c r="G9" s="114"/>
      <c r="H9" s="115"/>
      <c r="I9" s="41"/>
    </row>
    <row r="10" spans="1:9" x14ac:dyDescent="0.3">
      <c r="A10" s="40"/>
      <c r="B10" s="104">
        <v>45973</v>
      </c>
      <c r="E10" s="83">
        <v>605.54</v>
      </c>
      <c r="F10" s="58">
        <v>2500</v>
      </c>
      <c r="H10" s="93"/>
      <c r="I10" s="41"/>
    </row>
    <row r="11" spans="1:9" x14ac:dyDescent="0.3">
      <c r="A11" s="40"/>
      <c r="B11" s="92" t="s">
        <v>123</v>
      </c>
      <c r="C11" s="82"/>
      <c r="D11" s="82"/>
      <c r="E11" s="83">
        <v>486.57</v>
      </c>
      <c r="F11" s="82">
        <v>2000</v>
      </c>
      <c r="H11" s="93"/>
      <c r="I11" s="41"/>
    </row>
    <row r="12" spans="1:9" x14ac:dyDescent="0.3">
      <c r="A12" s="40"/>
      <c r="B12" s="94" t="s">
        <v>129</v>
      </c>
      <c r="C12" s="95">
        <v>4500</v>
      </c>
      <c r="D12" s="95"/>
      <c r="E12" s="96">
        <v>614.29999999999995</v>
      </c>
      <c r="F12" s="95">
        <v>2500</v>
      </c>
      <c r="G12" s="97"/>
      <c r="H12" s="98"/>
      <c r="I12" s="41"/>
    </row>
    <row r="13" spans="1:9" x14ac:dyDescent="0.3">
      <c r="A13" s="40"/>
      <c r="B13" s="171" t="s">
        <v>150</v>
      </c>
      <c r="C13" s="85"/>
      <c r="D13" s="85"/>
      <c r="E13" s="86">
        <v>490.17</v>
      </c>
      <c r="F13" s="85">
        <v>2000</v>
      </c>
      <c r="G13" s="67"/>
      <c r="H13" s="121"/>
      <c r="I13" s="41"/>
    </row>
    <row r="14" spans="1:9" x14ac:dyDescent="0.3">
      <c r="A14" s="40"/>
      <c r="B14" s="92" t="s">
        <v>151</v>
      </c>
      <c r="C14" s="82"/>
      <c r="D14" s="82"/>
      <c r="E14" s="83">
        <v>498.68</v>
      </c>
      <c r="F14" s="82">
        <v>2009.67</v>
      </c>
      <c r="H14" s="93"/>
      <c r="I14" s="41"/>
    </row>
    <row r="15" spans="1:9" x14ac:dyDescent="0.3">
      <c r="A15" s="40"/>
      <c r="B15" s="92"/>
      <c r="C15" s="82"/>
      <c r="D15" s="82"/>
      <c r="F15" s="82"/>
      <c r="H15" s="93"/>
      <c r="I15" s="41"/>
    </row>
    <row r="16" spans="1:9" x14ac:dyDescent="0.3">
      <c r="A16" s="40"/>
      <c r="B16" s="94"/>
      <c r="C16" s="95"/>
      <c r="D16" s="95"/>
      <c r="E16" s="96"/>
      <c r="F16" s="95"/>
      <c r="G16" s="97"/>
      <c r="H16" s="98"/>
      <c r="I16" s="41"/>
    </row>
    <row r="17" spans="1:11" x14ac:dyDescent="0.3">
      <c r="B17" s="76"/>
      <c r="C17" s="85"/>
      <c r="D17" s="85"/>
      <c r="E17" s="86"/>
      <c r="F17" s="85"/>
      <c r="G17" s="67"/>
      <c r="H17" s="67"/>
    </row>
    <row r="18" spans="1:11" x14ac:dyDescent="0.3">
      <c r="C18" s="82"/>
      <c r="D18" s="82"/>
      <c r="F18" s="82"/>
    </row>
    <row r="19" spans="1:11" x14ac:dyDescent="0.3">
      <c r="C19" s="82"/>
      <c r="D19" s="82"/>
      <c r="F19" s="82"/>
    </row>
    <row r="20" spans="1:11" x14ac:dyDescent="0.3">
      <c r="C20" s="82"/>
      <c r="D20" s="82"/>
      <c r="F20" s="82"/>
    </row>
    <row r="21" spans="1:11" s="34" customFormat="1" x14ac:dyDescent="0.3">
      <c r="A21" s="33"/>
      <c r="B21" s="77"/>
      <c r="C21" s="82"/>
      <c r="D21" s="82"/>
      <c r="E21" s="83"/>
      <c r="F21" s="82"/>
      <c r="G21" s="33"/>
      <c r="H21" s="33"/>
      <c r="I21" s="33"/>
      <c r="J21" s="33"/>
      <c r="K21" s="33"/>
    </row>
    <row r="22" spans="1:11" s="34" customFormat="1" x14ac:dyDescent="0.3">
      <c r="A22" s="33"/>
      <c r="B22" s="77"/>
      <c r="C22" s="82"/>
      <c r="D22" s="82"/>
      <c r="E22" s="83"/>
      <c r="F22" s="82"/>
      <c r="G22" s="33"/>
      <c r="H22" s="33"/>
      <c r="I22" s="33"/>
      <c r="J22" s="33"/>
      <c r="K22" s="33"/>
    </row>
    <row r="23" spans="1:11" s="34" customFormat="1" x14ac:dyDescent="0.3">
      <c r="A23" s="33"/>
      <c r="B23" s="77"/>
      <c r="C23" s="82"/>
      <c r="D23" s="82"/>
      <c r="E23" s="83"/>
      <c r="F23" s="82"/>
      <c r="G23" s="33"/>
      <c r="H23" s="33"/>
      <c r="I23" s="33"/>
      <c r="J23" s="33"/>
      <c r="K23" s="33"/>
    </row>
    <row r="24" spans="1:11" s="34" customFormat="1" x14ac:dyDescent="0.3">
      <c r="A24" s="33"/>
      <c r="B24" s="77"/>
      <c r="C24" s="82"/>
      <c r="D24" s="82"/>
      <c r="E24" s="83"/>
      <c r="F24" s="82"/>
      <c r="G24" s="33"/>
      <c r="H24" s="33"/>
      <c r="I24" s="33"/>
      <c r="J24" s="33"/>
      <c r="K24" s="33"/>
    </row>
    <row r="25" spans="1:11" s="34" customFormat="1" x14ac:dyDescent="0.3">
      <c r="A25" s="33"/>
      <c r="B25" s="77"/>
      <c r="C25" s="82"/>
      <c r="D25" s="82"/>
      <c r="E25" s="83"/>
      <c r="F25" s="82"/>
      <c r="G25" s="33"/>
      <c r="H25" s="33"/>
      <c r="I25" s="33"/>
      <c r="J25" s="33"/>
      <c r="K25" s="33"/>
    </row>
    <row r="26" spans="1:11" s="34" customFormat="1" x14ac:dyDescent="0.3">
      <c r="A26" s="33"/>
      <c r="B26" s="77"/>
      <c r="C26" s="82"/>
      <c r="D26" s="82"/>
      <c r="E26" s="83"/>
      <c r="F26" s="82"/>
      <c r="G26" s="33"/>
      <c r="H26" s="33"/>
      <c r="I26" s="33"/>
      <c r="J26" s="33"/>
      <c r="K26" s="3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850A-AC3E-49B5-9830-531D9A8B5277}">
  <dimension ref="B3:K26"/>
  <sheetViews>
    <sheetView workbookViewId="0">
      <selection activeCell="I23" sqref="I23"/>
    </sheetView>
  </sheetViews>
  <sheetFormatPr defaultRowHeight="14.4" x14ac:dyDescent="0.3"/>
  <cols>
    <col min="3" max="3" width="11.33203125" bestFit="1" customWidth="1"/>
    <col min="4" max="6" width="12.77734375" style="8" customWidth="1"/>
    <col min="7" max="7" width="12.77734375" customWidth="1"/>
    <col min="10" max="10" width="12.33203125" bestFit="1" customWidth="1"/>
    <col min="11" max="11" width="9.21875" bestFit="1" customWidth="1"/>
  </cols>
  <sheetData>
    <row r="3" spans="2:11" x14ac:dyDescent="0.3">
      <c r="B3" s="131" t="s">
        <v>0</v>
      </c>
      <c r="C3" s="131" t="s">
        <v>9</v>
      </c>
      <c r="D3" s="9" t="s">
        <v>21</v>
      </c>
      <c r="E3" s="9" t="s">
        <v>22</v>
      </c>
      <c r="F3" s="9" t="s">
        <v>4</v>
      </c>
      <c r="G3" s="142" t="s">
        <v>133</v>
      </c>
    </row>
    <row r="4" spans="2:11" x14ac:dyDescent="0.3">
      <c r="B4" s="132">
        <v>2025</v>
      </c>
      <c r="C4" s="5" t="s">
        <v>10</v>
      </c>
      <c r="D4" s="29"/>
      <c r="E4" s="144">
        <v>8658.07</v>
      </c>
      <c r="F4" s="143"/>
      <c r="G4" s="145"/>
    </row>
    <row r="5" spans="2:11" x14ac:dyDescent="0.3">
      <c r="B5" s="4"/>
      <c r="C5" s="6" t="s">
        <v>11</v>
      </c>
      <c r="D5" s="30"/>
      <c r="E5" s="146">
        <v>16160</v>
      </c>
      <c r="F5" s="147">
        <v>30850</v>
      </c>
      <c r="G5" s="152">
        <f>-F5</f>
        <v>-30850</v>
      </c>
      <c r="K5" s="7"/>
    </row>
    <row r="6" spans="2:11" x14ac:dyDescent="0.3">
      <c r="B6" s="3" t="s">
        <v>47</v>
      </c>
      <c r="C6" s="10" t="s">
        <v>33</v>
      </c>
      <c r="D6" s="29">
        <v>44.67</v>
      </c>
      <c r="E6" s="29"/>
      <c r="F6" s="141">
        <v>44.67</v>
      </c>
      <c r="G6" s="148"/>
    </row>
    <row r="7" spans="2:11" x14ac:dyDescent="0.3">
      <c r="B7" s="133"/>
      <c r="C7" s="18" t="s">
        <v>34</v>
      </c>
      <c r="D7" s="30"/>
      <c r="E7" s="30"/>
      <c r="F7" s="149"/>
      <c r="G7" s="150"/>
    </row>
    <row r="8" spans="2:11" x14ac:dyDescent="0.3">
      <c r="B8" s="3" t="s">
        <v>60</v>
      </c>
      <c r="C8" s="10" t="s">
        <v>33</v>
      </c>
      <c r="D8" s="29"/>
      <c r="E8" s="29"/>
      <c r="F8" s="141"/>
      <c r="G8" s="148"/>
    </row>
    <row r="9" spans="2:11" x14ac:dyDescent="0.3">
      <c r="B9" s="4"/>
      <c r="C9" s="18" t="s">
        <v>34</v>
      </c>
      <c r="D9" s="30"/>
      <c r="E9" s="30">
        <f>-399.41+296.18-0.27-53.62</f>
        <v>-157.12</v>
      </c>
      <c r="F9" s="151">
        <f>-399.41+296.18-0.27-53.62</f>
        <v>-157.12</v>
      </c>
      <c r="G9" s="150"/>
    </row>
    <row r="10" spans="2:11" x14ac:dyDescent="0.3">
      <c r="B10" s="3" t="s">
        <v>61</v>
      </c>
      <c r="C10" s="10" t="s">
        <v>33</v>
      </c>
      <c r="D10" s="29"/>
      <c r="E10" s="29"/>
      <c r="F10" s="141"/>
      <c r="G10" s="148"/>
    </row>
    <row r="11" spans="2:11" x14ac:dyDescent="0.3">
      <c r="B11" s="2"/>
      <c r="C11" s="66" t="s">
        <v>34</v>
      </c>
      <c r="D11" s="59">
        <v>83.07</v>
      </c>
      <c r="E11" s="59"/>
      <c r="F11" s="143">
        <v>83.07</v>
      </c>
      <c r="G11" s="145"/>
    </row>
    <row r="12" spans="2:11" x14ac:dyDescent="0.3">
      <c r="B12" s="3" t="s">
        <v>90</v>
      </c>
      <c r="C12" s="10" t="s">
        <v>33</v>
      </c>
      <c r="D12" s="29">
        <v>142.33000000000001</v>
      </c>
      <c r="E12" s="29"/>
      <c r="F12" s="141">
        <v>142.33000000000001</v>
      </c>
      <c r="G12" s="148"/>
    </row>
    <row r="13" spans="2:11" x14ac:dyDescent="0.3">
      <c r="B13" s="2"/>
      <c r="C13" s="66" t="s">
        <v>122</v>
      </c>
      <c r="D13" s="59"/>
      <c r="E13" s="59"/>
      <c r="F13" s="143"/>
      <c r="G13" s="145"/>
    </row>
    <row r="14" spans="2:11" x14ac:dyDescent="0.3">
      <c r="B14" s="3" t="s">
        <v>101</v>
      </c>
      <c r="C14" s="10" t="s">
        <v>33</v>
      </c>
      <c r="D14" s="29">
        <v>330</v>
      </c>
      <c r="E14" s="29"/>
      <c r="F14" s="141">
        <v>330</v>
      </c>
      <c r="G14" s="148"/>
      <c r="J14" s="8"/>
    </row>
    <row r="15" spans="2:11" x14ac:dyDescent="0.3">
      <c r="B15" s="4"/>
      <c r="C15" s="18" t="s">
        <v>122</v>
      </c>
      <c r="D15" s="30"/>
      <c r="E15" s="30"/>
      <c r="F15" s="149"/>
      <c r="G15" s="150"/>
    </row>
    <row r="16" spans="2:11" x14ac:dyDescent="0.3">
      <c r="B16" s="2" t="s">
        <v>109</v>
      </c>
      <c r="C16" s="66" t="s">
        <v>33</v>
      </c>
      <c r="D16" s="59">
        <v>431.14</v>
      </c>
      <c r="E16" s="59"/>
      <c r="F16" s="143">
        <v>431.14</v>
      </c>
      <c r="G16" s="145"/>
    </row>
    <row r="17" spans="2:7" x14ac:dyDescent="0.3">
      <c r="B17" s="133"/>
      <c r="C17" s="18" t="s">
        <v>122</v>
      </c>
      <c r="D17" s="30"/>
      <c r="E17" s="30"/>
      <c r="F17" s="149"/>
      <c r="G17" s="150"/>
    </row>
    <row r="18" spans="2:7" x14ac:dyDescent="0.3">
      <c r="F18" s="143"/>
    </row>
    <row r="19" spans="2:7" x14ac:dyDescent="0.3">
      <c r="B19" s="132">
        <v>2026</v>
      </c>
      <c r="C19" s="10" t="s">
        <v>33</v>
      </c>
      <c r="D19" s="29"/>
      <c r="E19" s="29"/>
      <c r="F19" s="141">
        <f>F6+F12+F14+F16</f>
        <v>948.14</v>
      </c>
      <c r="G19" s="148"/>
    </row>
    <row r="20" spans="2:7" x14ac:dyDescent="0.3">
      <c r="B20" s="4"/>
      <c r="C20" s="18" t="s">
        <v>34</v>
      </c>
      <c r="D20" s="30"/>
      <c r="E20" s="30"/>
      <c r="F20" s="147">
        <f>F9+F11</f>
        <v>-74.050000000000011</v>
      </c>
      <c r="G20" s="152">
        <f>G5+F19+F20</f>
        <v>-29975.91</v>
      </c>
    </row>
    <row r="21" spans="2:7" x14ac:dyDescent="0.3">
      <c r="B21" s="3" t="s">
        <v>131</v>
      </c>
      <c r="C21" s="10" t="s">
        <v>33</v>
      </c>
      <c r="D21" s="29"/>
      <c r="E21" s="29"/>
      <c r="F21" s="141"/>
      <c r="G21" s="148"/>
    </row>
    <row r="22" spans="2:7" x14ac:dyDescent="0.3">
      <c r="B22" s="133"/>
      <c r="C22" s="18" t="s">
        <v>122</v>
      </c>
      <c r="D22" s="30"/>
      <c r="E22" s="30"/>
      <c r="F22" s="149"/>
      <c r="G22" s="150"/>
    </row>
    <row r="23" spans="2:7" x14ac:dyDescent="0.3">
      <c r="B23" s="3" t="s">
        <v>134</v>
      </c>
      <c r="C23" s="10" t="s">
        <v>33</v>
      </c>
      <c r="D23" s="29"/>
      <c r="E23" s="29"/>
      <c r="F23" s="141"/>
      <c r="G23" s="148"/>
    </row>
    <row r="24" spans="2:7" x14ac:dyDescent="0.3">
      <c r="B24" s="133"/>
      <c r="C24" s="18" t="s">
        <v>122</v>
      </c>
      <c r="D24" s="30"/>
      <c r="E24" s="30"/>
      <c r="F24" s="149"/>
      <c r="G24" s="150"/>
    </row>
    <row r="25" spans="2:7" x14ac:dyDescent="0.3">
      <c r="B25" s="3" t="s">
        <v>47</v>
      </c>
      <c r="C25" s="10" t="s">
        <v>33</v>
      </c>
      <c r="D25" s="29"/>
      <c r="E25" s="29"/>
      <c r="F25" s="141"/>
      <c r="G25" s="148"/>
    </row>
    <row r="26" spans="2:7" x14ac:dyDescent="0.3">
      <c r="B26" s="133"/>
      <c r="C26" s="18" t="s">
        <v>122</v>
      </c>
      <c r="D26" s="30"/>
      <c r="E26" s="30"/>
      <c r="F26" s="149"/>
      <c r="G26" s="15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5513-E13D-4950-8FC3-11B7771F1909}">
  <dimension ref="B2:F24"/>
  <sheetViews>
    <sheetView workbookViewId="0">
      <selection activeCell="F17" sqref="F17"/>
    </sheetView>
  </sheetViews>
  <sheetFormatPr defaultRowHeight="14.4" x14ac:dyDescent="0.3"/>
  <cols>
    <col min="2" max="2" width="13.6640625" bestFit="1" customWidth="1"/>
    <col min="3" max="3" width="15" bestFit="1" customWidth="1"/>
    <col min="4" max="4" width="11.6640625" style="17" bestFit="1" customWidth="1"/>
    <col min="5" max="5" width="12.77734375" style="17" customWidth="1"/>
    <col min="6" max="6" width="42.77734375" customWidth="1"/>
  </cols>
  <sheetData>
    <row r="2" spans="2:6" x14ac:dyDescent="0.3">
      <c r="B2" s="14" t="s">
        <v>20</v>
      </c>
      <c r="C2" s="15"/>
      <c r="D2" s="19"/>
    </row>
    <row r="3" spans="2:6" x14ac:dyDescent="0.3">
      <c r="B3" s="20" t="s">
        <v>6</v>
      </c>
      <c r="C3" s="20" t="s">
        <v>35</v>
      </c>
      <c r="D3" s="21" t="s">
        <v>39</v>
      </c>
      <c r="E3" s="21" t="s">
        <v>36</v>
      </c>
      <c r="F3" s="20" t="s">
        <v>37</v>
      </c>
    </row>
    <row r="4" spans="2:6" x14ac:dyDescent="0.3">
      <c r="B4" s="22"/>
    </row>
    <row r="5" spans="2:6" x14ac:dyDescent="0.3">
      <c r="B5" s="12"/>
    </row>
    <row r="6" spans="2:6" x14ac:dyDescent="0.3">
      <c r="B6" s="12"/>
    </row>
    <row r="7" spans="2:6" x14ac:dyDescent="0.3">
      <c r="B7" s="12"/>
    </row>
    <row r="8" spans="2:6" x14ac:dyDescent="0.3">
      <c r="B8" s="12"/>
    </row>
    <row r="9" spans="2:6" x14ac:dyDescent="0.3">
      <c r="B9" s="12"/>
    </row>
    <row r="10" spans="2:6" x14ac:dyDescent="0.3">
      <c r="B10" s="12"/>
    </row>
    <row r="11" spans="2:6" x14ac:dyDescent="0.3">
      <c r="B11" s="12"/>
    </row>
    <row r="12" spans="2:6" x14ac:dyDescent="0.3">
      <c r="B12" s="12"/>
    </row>
    <row r="13" spans="2:6" x14ac:dyDescent="0.3">
      <c r="B13" s="12"/>
    </row>
    <row r="14" spans="2:6" x14ac:dyDescent="0.3">
      <c r="B14" s="12"/>
    </row>
    <row r="15" spans="2:6" x14ac:dyDescent="0.3">
      <c r="B15" s="12"/>
    </row>
    <row r="16" spans="2:6" x14ac:dyDescent="0.3">
      <c r="B16" s="12"/>
    </row>
    <row r="17" spans="2:2" x14ac:dyDescent="0.3">
      <c r="B17" s="12"/>
    </row>
    <row r="18" spans="2:2" x14ac:dyDescent="0.3">
      <c r="B18" s="12"/>
    </row>
    <row r="19" spans="2:2" x14ac:dyDescent="0.3">
      <c r="B19" s="12"/>
    </row>
    <row r="20" spans="2:2" x14ac:dyDescent="0.3">
      <c r="B20" s="12"/>
    </row>
    <row r="21" spans="2:2" x14ac:dyDescent="0.3">
      <c r="B21" s="12"/>
    </row>
    <row r="22" spans="2:2" x14ac:dyDescent="0.3">
      <c r="B22" s="12"/>
    </row>
    <row r="23" spans="2:2" x14ac:dyDescent="0.3">
      <c r="B23" s="12"/>
    </row>
    <row r="24" spans="2:2" x14ac:dyDescent="0.3">
      <c r="B2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Investor</vt:lpstr>
      <vt:lpstr>Deposit_Active</vt:lpstr>
      <vt:lpstr>Transaction</vt:lpstr>
      <vt:lpstr>Wise</vt:lpstr>
      <vt:lpstr>TradingSummary</vt:lpstr>
      <vt:lpstr>Brokerage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CHE LOON</dc:creator>
  <cp:lastModifiedBy>CL Lee</cp:lastModifiedBy>
  <dcterms:created xsi:type="dcterms:W3CDTF">2024-06-05T05:41:18Z</dcterms:created>
  <dcterms:modified xsi:type="dcterms:W3CDTF">2026-04-23T07:16:32Z</dcterms:modified>
</cp:coreProperties>
</file>